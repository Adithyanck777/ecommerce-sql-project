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hyan\Downloads\"/>
    </mc:Choice>
  </mc:AlternateContent>
  <xr:revisionPtr revIDLastSave="0" documentId="13_ncr:1_{D3EE3CD9-6E3C-4C8A-965A-2311F3663A94}" xr6:coauthVersionLast="47" xr6:coauthVersionMax="47" xr10:uidLastSave="{00000000-0000-0000-0000-000000000000}"/>
  <bookViews>
    <workbookView xWindow="11424" yWindow="0" windowWidth="11712" windowHeight="12336" tabRatio="500" xr2:uid="{00000000-000D-0000-FFFF-FFFF00000000}"/>
  </bookViews>
  <sheets>
    <sheet name="Dashboard" sheetId="1" r:id="rId1"/>
    <sheet name="Monthly Revenue" sheetId="2" r:id="rId2"/>
    <sheet name="Category Revenue" sheetId="3" r:id="rId3"/>
    <sheet name="Region AOV" sheetId="4" r:id="rId4"/>
    <sheet name="Churn Risk" sheetId="5" r:id="rId5"/>
    <sheet name="RFM Segments" sheetId="6" r:id="rId6"/>
    <sheet name="Top Customer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7" l="1"/>
  <c r="H13" i="7"/>
  <c r="H12" i="7"/>
  <c r="H11" i="7"/>
  <c r="H10" i="7"/>
  <c r="H9" i="7"/>
  <c r="H8" i="7"/>
  <c r="H7" i="7"/>
  <c r="H6" i="7"/>
  <c r="H5" i="7"/>
  <c r="D10" i="6"/>
  <c r="D9" i="6"/>
  <c r="D8" i="6"/>
  <c r="D7" i="6"/>
  <c r="D6" i="6"/>
  <c r="D5" i="6"/>
  <c r="D8" i="5"/>
  <c r="D7" i="5"/>
  <c r="D6" i="5"/>
  <c r="D9" i="4"/>
  <c r="D8" i="4"/>
  <c r="D7" i="4"/>
  <c r="D6" i="4"/>
  <c r="D5" i="4"/>
  <c r="D15" i="3"/>
  <c r="H14" i="3"/>
  <c r="G14" i="3"/>
  <c r="F14" i="3"/>
  <c r="H13" i="3"/>
  <c r="F13" i="3"/>
  <c r="G13" i="3" s="1"/>
  <c r="H12" i="3"/>
  <c r="G12" i="3"/>
  <c r="F12" i="3"/>
  <c r="H11" i="3"/>
  <c r="F11" i="3"/>
  <c r="G11" i="3" s="1"/>
  <c r="H10" i="3"/>
  <c r="F10" i="3"/>
  <c r="G10" i="3" s="1"/>
  <c r="H9" i="3"/>
  <c r="F9" i="3"/>
  <c r="G9" i="3" s="1"/>
  <c r="H8" i="3"/>
  <c r="F8" i="3"/>
  <c r="G8" i="3" s="1"/>
  <c r="H7" i="3"/>
  <c r="F7" i="3"/>
  <c r="G7" i="3" s="1"/>
  <c r="H6" i="3"/>
  <c r="F6" i="3"/>
  <c r="G6" i="3" s="1"/>
  <c r="H5" i="3"/>
  <c r="G5" i="3"/>
  <c r="F5" i="3"/>
  <c r="C29" i="2"/>
  <c r="N6" i="1" s="1"/>
  <c r="B29" i="2"/>
  <c r="F6" i="1" s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E5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R6" i="1"/>
  <c r="F15" i="3" l="1"/>
</calcChain>
</file>

<file path=xl/sharedStrings.xml><?xml version="1.0" encoding="utf-8"?>
<sst xmlns="http://schemas.openxmlformats.org/spreadsheetml/2006/main" count="17123" uniqueCount="2063">
  <si>
    <t>E-Commerce Performance Review</t>
  </si>
  <si>
    <t>FY2023-FY2024 - Built from live SQL queries against a 26,000-order transactional dataset</t>
  </si>
  <si>
    <t>Total Revenue (24mo)</t>
  </si>
  <si>
    <t>Completed Orders</t>
  </si>
  <si>
    <t>Customers</t>
  </si>
  <si>
    <t>Avg. Order Value</t>
  </si>
  <si>
    <t>90+ Days Inactive (LTV at risk)</t>
  </si>
  <si>
    <t>Every number below is a formula referencing the data sheets (Monthly Revenue, Category Revenue, Region AOV, Churn Risk, RFM Segments). Edit source data there and this sheet recalculates.</t>
  </si>
  <si>
    <t>Monthly Revenue &amp; Order Trend</t>
  </si>
  <si>
    <t>Source: sql/01_monthly_revenue_trends.sql · excludes canceled/returned orders</t>
  </si>
  <si>
    <t>Month</t>
  </si>
  <si>
    <t>Orders</t>
  </si>
  <si>
    <t>Revenue</t>
  </si>
  <si>
    <t>Running Total Revenue</t>
  </si>
  <si>
    <t>Avg Order Value</t>
  </si>
  <si>
    <t>MoM Growth %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</si>
  <si>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</si>
  <si>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</si>
  <si>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</si>
  <si>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</si>
  <si>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</si>
  <si>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</si>
  <si>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</si>
  <si>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</si>
  <si>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</si>
  <si>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</si>
  <si>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</si>
  <si>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</si>
  <si>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</si>
  <si>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</si>
  <si>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</si>
  <si>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</si>
  <si>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</si>
  <si>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</si>
  <si>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</si>
  <si>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</si>
  <si>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</si>
  <si>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</si>
  <si>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</si>
  <si>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</si>
  <si>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TOTAL</t>
  </si>
  <si>
    <t>Revenue &amp; Margin by Product Category</t>
  </si>
  <si>
    <t>Source: sql/03_category_revenue_margin.sql</t>
  </si>
  <si>
    <t>Category</t>
  </si>
  <si>
    <t>Units Sold</t>
  </si>
  <si>
    <t>Gross Revenue</t>
  </si>
  <si>
    <t>Total Cost</t>
  </si>
  <si>
    <t>Gross Profit</t>
  </si>
  <si>
    <t>Margin %</t>
  </si>
  <si>
    <t>Revenue Share %</t>
  </si>
  <si>
    <t>Electronics</t>
  </si>
  <si>
    <t>Computers Tablets</t>
  </si>
  <si>
    <t>Home Furniture</t>
  </si>
  <si>
    <t>Auto Parts</t>
  </si>
  <si>
    <t>Sports Leisure</t>
  </si>
  <si>
    <t>Fashion Accessories</t>
  </si>
  <si>
    <t>Housewares</t>
  </si>
  <si>
    <t>Beauty Health</t>
  </si>
  <si>
    <t>Toys Baby</t>
  </si>
  <si>
    <t>Books Stationery</t>
  </si>
  <si>
    <t>Average Order Value by Region</t>
  </si>
  <si>
    <t>Source: sql/05_aov_by_region.sql</t>
  </si>
  <si>
    <t>Region</t>
  </si>
  <si>
    <t>Total Revenue</t>
  </si>
  <si>
    <t>Southeast</t>
  </si>
  <si>
    <t>South</t>
  </si>
  <si>
    <t>Northeast</t>
  </si>
  <si>
    <t>Central-West</t>
  </si>
  <si>
    <t>North</t>
  </si>
  <si>
    <t>Customer Churn Risk</t>
  </si>
  <si>
    <t>Source: sql/06_churn_risk_90days.sql · 'today' = latest order date in the dataset</t>
  </si>
  <si>
    <t>Summary</t>
  </si>
  <si>
    <t>Status</t>
  </si>
  <si>
    <t>LTV at Stake</t>
  </si>
  <si>
    <t>% of Customers</t>
  </si>
  <si>
    <t>Active (&lt;90d)</t>
  </si>
  <si>
    <t>At risk (90-179d)</t>
  </si>
  <si>
    <t>High risk (180+d)</t>
  </si>
  <si>
    <t>Customer Detail (90+ days inactive)</t>
  </si>
  <si>
    <t>Customer ID</t>
  </si>
  <si>
    <t>City</t>
  </si>
  <si>
    <t>State</t>
  </si>
  <si>
    <t>Last Order Date</t>
  </si>
  <si>
    <t>Total Orders</t>
  </si>
  <si>
    <t>Lifetime Value</t>
  </si>
  <si>
    <t>Days Since Last Order</t>
  </si>
  <si>
    <t>Peixoto</t>
  </si>
  <si>
    <t>ES</t>
  </si>
  <si>
    <t>2023-03-08</t>
  </si>
  <si>
    <t>Viana</t>
  </si>
  <si>
    <t>BA</t>
  </si>
  <si>
    <t>Montenegro de Goiás</t>
  </si>
  <si>
    <t>SP</t>
  </si>
  <si>
    <t>2023-03-13</t>
  </si>
  <si>
    <t>Vargas</t>
  </si>
  <si>
    <t>SC</t>
  </si>
  <si>
    <t>Barros Paulista</t>
  </si>
  <si>
    <t>RS</t>
  </si>
  <si>
    <t>2023-03-20</t>
  </si>
  <si>
    <t>Mendes</t>
  </si>
  <si>
    <t>CE</t>
  </si>
  <si>
    <t>2023-03-24</t>
  </si>
  <si>
    <t>Sampaio de Lopes</t>
  </si>
  <si>
    <t>DF</t>
  </si>
  <si>
    <t>2023-04-04</t>
  </si>
  <si>
    <t>Ribeiro de Marques</t>
  </si>
  <si>
    <t>2023-04-17</t>
  </si>
  <si>
    <t>Cardoso do Amparo</t>
  </si>
  <si>
    <t>2023-04-19</t>
  </si>
  <si>
    <t>Moraes</t>
  </si>
  <si>
    <t>Vasconcelos do Sul</t>
  </si>
  <si>
    <t>2023-04-22</t>
  </si>
  <si>
    <t>Azevedo de Moreira</t>
  </si>
  <si>
    <t>Guerra</t>
  </si>
  <si>
    <t>PE</t>
  </si>
  <si>
    <t>2023-04-27</t>
  </si>
  <si>
    <t>Pires</t>
  </si>
  <si>
    <t>2023-04-30</t>
  </si>
  <si>
    <t>Pereira Verde</t>
  </si>
  <si>
    <t>2023-05-03</t>
  </si>
  <si>
    <t>Andrade</t>
  </si>
  <si>
    <t>MT</t>
  </si>
  <si>
    <t>2023-05-05</t>
  </si>
  <si>
    <t>PR</t>
  </si>
  <si>
    <t>2023-05-07</t>
  </si>
  <si>
    <t>da Costa do Campo</t>
  </si>
  <si>
    <t>da Paz de Oliveira</t>
  </si>
  <si>
    <t>2023-05-09</t>
  </si>
  <si>
    <t>Fonseca do Norte</t>
  </si>
  <si>
    <t>2023-05-10</t>
  </si>
  <si>
    <t>Pires de da Rosa</t>
  </si>
  <si>
    <t>2023-05-12</t>
  </si>
  <si>
    <t>Pimenta do Galho</t>
  </si>
  <si>
    <t>MG</t>
  </si>
  <si>
    <t>2023-05-19</t>
  </si>
  <si>
    <t>Oliveira</t>
  </si>
  <si>
    <t>Azevedo do Oeste</t>
  </si>
  <si>
    <t>RJ</t>
  </si>
  <si>
    <t>da Paz</t>
  </si>
  <si>
    <t>2023-05-20</t>
  </si>
  <si>
    <t>Pastor do Oeste</t>
  </si>
  <si>
    <t>2023-05-22</t>
  </si>
  <si>
    <t>Castro</t>
  </si>
  <si>
    <t>2023-05-25</t>
  </si>
  <si>
    <t>Peixoto de Lopes</t>
  </si>
  <si>
    <t>da Paz do Sul</t>
  </si>
  <si>
    <t>2023-05-28</t>
  </si>
  <si>
    <t>Novaes dos Dourados</t>
  </si>
  <si>
    <t>2023-05-29</t>
  </si>
  <si>
    <t>Moreira</t>
  </si>
  <si>
    <t>2023-05-30</t>
  </si>
  <si>
    <t>da Rosa</t>
  </si>
  <si>
    <t>2023-05-31</t>
  </si>
  <si>
    <t>da Cunha</t>
  </si>
  <si>
    <t>2023-06-01</t>
  </si>
  <si>
    <t>Ramos de Minas</t>
  </si>
  <si>
    <t>AM</t>
  </si>
  <si>
    <t>2023-06-02</t>
  </si>
  <si>
    <t>Cirino de da Cunha</t>
  </si>
  <si>
    <t>2023-06-03</t>
  </si>
  <si>
    <t>Oliveira da Prata</t>
  </si>
  <si>
    <t>2023-06-04</t>
  </si>
  <si>
    <t>Montenegro</t>
  </si>
  <si>
    <t>Vasconcelos</t>
  </si>
  <si>
    <t>2023-06-05</t>
  </si>
  <si>
    <t>Cavalcante de Marques</t>
  </si>
  <si>
    <t>2023-06-06</t>
  </si>
  <si>
    <t>Pinto</t>
  </si>
  <si>
    <t>2023-06-08</t>
  </si>
  <si>
    <t>Camargo</t>
  </si>
  <si>
    <t>2023-06-09</t>
  </si>
  <si>
    <t>Carvalho do Campo</t>
  </si>
  <si>
    <t>Ferreira de Alves</t>
  </si>
  <si>
    <t>2023-06-11</t>
  </si>
  <si>
    <t>2023-06-15</t>
  </si>
  <si>
    <t>Martins</t>
  </si>
  <si>
    <t>Barros</t>
  </si>
  <si>
    <t>2023-06-17</t>
  </si>
  <si>
    <t>Nogueira</t>
  </si>
  <si>
    <t>2023-06-19</t>
  </si>
  <si>
    <t>Rios de Porto</t>
  </si>
  <si>
    <t>2023-06-20</t>
  </si>
  <si>
    <t>da Mata</t>
  </si>
  <si>
    <t>Cirino das Flores</t>
  </si>
  <si>
    <t>2023-06-21</t>
  </si>
  <si>
    <t>Leão da Prata</t>
  </si>
  <si>
    <t>2023-06-22</t>
  </si>
  <si>
    <t>Monteiro da Praia</t>
  </si>
  <si>
    <t>2023-06-24</t>
  </si>
  <si>
    <t>Lopes Alegre</t>
  </si>
  <si>
    <t>2023-06-26</t>
  </si>
  <si>
    <t>Pereira</t>
  </si>
  <si>
    <t>2023-06-27</t>
  </si>
  <si>
    <t>Garcia de Moraes</t>
  </si>
  <si>
    <t>2023-06-28</t>
  </si>
  <si>
    <t>Correia da Serra</t>
  </si>
  <si>
    <t>2023-06-29</t>
  </si>
  <si>
    <t>Caldeira do Sul</t>
  </si>
  <si>
    <t>2023-07-02</t>
  </si>
  <si>
    <t>Rezende</t>
  </si>
  <si>
    <t>2023-07-05</t>
  </si>
  <si>
    <t>Leão</t>
  </si>
  <si>
    <t>Abreu</t>
  </si>
  <si>
    <t>2023-07-07</t>
  </si>
  <si>
    <t>Rocha</t>
  </si>
  <si>
    <t>Pastor</t>
  </si>
  <si>
    <t>2023-07-09</t>
  </si>
  <si>
    <t>Melo da Prata</t>
  </si>
  <si>
    <t>Aragão</t>
  </si>
  <si>
    <t>2023-07-10</t>
  </si>
  <si>
    <t>Sales de Ribeiro</t>
  </si>
  <si>
    <t>2023-07-11</t>
  </si>
  <si>
    <t>Melo de Mendonça</t>
  </si>
  <si>
    <t>Camargo do Amparo</t>
  </si>
  <si>
    <t>2023-07-12</t>
  </si>
  <si>
    <t>Monteiro das Pedras</t>
  </si>
  <si>
    <t>2023-07-13</t>
  </si>
  <si>
    <t>Peixoto da Prata</t>
  </si>
  <si>
    <t>2023-07-14</t>
  </si>
  <si>
    <t>Leão do Oeste</t>
  </si>
  <si>
    <t>Freitas Grande</t>
  </si>
  <si>
    <t>Rezende da Serra</t>
  </si>
  <si>
    <t>da Cunha de Minas</t>
  </si>
  <si>
    <t>Almeida da Mata</t>
  </si>
  <si>
    <t>2023-07-16</t>
  </si>
  <si>
    <t>Carvalho de Câmara</t>
  </si>
  <si>
    <t>2023-07-17</t>
  </si>
  <si>
    <t>da Luz de Souza</t>
  </si>
  <si>
    <t>da Mata dos Dourados</t>
  </si>
  <si>
    <t>Nunes dos Dourados</t>
  </si>
  <si>
    <t>2023-07-18</t>
  </si>
  <si>
    <t>Lima de Minas</t>
  </si>
  <si>
    <t>2023-07-19</t>
  </si>
  <si>
    <t>Vieira das Flores</t>
  </si>
  <si>
    <t>2023-07-20</t>
  </si>
  <si>
    <t>2023-07-21</t>
  </si>
  <si>
    <t>2023-07-22</t>
  </si>
  <si>
    <t>Borges</t>
  </si>
  <si>
    <t>2023-07-24</t>
  </si>
  <si>
    <t>2023-07-26</t>
  </si>
  <si>
    <t>Costa</t>
  </si>
  <si>
    <t>2023-07-27</t>
  </si>
  <si>
    <t>Rodrigues Paulista</t>
  </si>
  <si>
    <t>Rodrigues Alegre</t>
  </si>
  <si>
    <t>2023-07-30</t>
  </si>
  <si>
    <t>Aragão das Flores</t>
  </si>
  <si>
    <t>2023-07-31</t>
  </si>
  <si>
    <t>Moreira de Teixeira</t>
  </si>
  <si>
    <t>Silva do Amparo</t>
  </si>
  <si>
    <t>GO</t>
  </si>
  <si>
    <t>2023-08-02</t>
  </si>
  <si>
    <t>Moreira Alegre</t>
  </si>
  <si>
    <t>Brito</t>
  </si>
  <si>
    <t>Duarte</t>
  </si>
  <si>
    <t>2023-08-03</t>
  </si>
  <si>
    <t>das Neves Paulista</t>
  </si>
  <si>
    <t>2023-08-04</t>
  </si>
  <si>
    <t>Lopes</t>
  </si>
  <si>
    <t>2023-08-05</t>
  </si>
  <si>
    <t>Teixeira</t>
  </si>
  <si>
    <t>2023-08-06</t>
  </si>
  <si>
    <t>Sampaio Alegre</t>
  </si>
  <si>
    <t>Almeida do Norte</t>
  </si>
  <si>
    <t>2023-08-07</t>
  </si>
  <si>
    <t>Silveira</t>
  </si>
  <si>
    <t>2023-08-08</t>
  </si>
  <si>
    <t>Cirino do Amparo</t>
  </si>
  <si>
    <t>2023-08-11</t>
  </si>
  <si>
    <t>Aparecida de Mendes</t>
  </si>
  <si>
    <t>2023-08-12</t>
  </si>
  <si>
    <t>2023-08-14</t>
  </si>
  <si>
    <t>Peixoto Alegre</t>
  </si>
  <si>
    <t>Sales de Minas</t>
  </si>
  <si>
    <t>Viana Verde</t>
  </si>
  <si>
    <t>Monteiro</t>
  </si>
  <si>
    <t>2023-08-15</t>
  </si>
  <si>
    <t>Jesus Grande</t>
  </si>
  <si>
    <t>Marques</t>
  </si>
  <si>
    <t>2023-08-17</t>
  </si>
  <si>
    <t>Martins de Mendonça</t>
  </si>
  <si>
    <t>Moraes do Campo</t>
  </si>
  <si>
    <t>2023-08-18</t>
  </si>
  <si>
    <t>Gonçalves de Viana</t>
  </si>
  <si>
    <t>Sousa</t>
  </si>
  <si>
    <t>Siqueira das Pedras</t>
  </si>
  <si>
    <t>2023-08-19</t>
  </si>
  <si>
    <t>Fernandes</t>
  </si>
  <si>
    <t>2023-08-20</t>
  </si>
  <si>
    <t>Monteiro de Minas</t>
  </si>
  <si>
    <t>Aragão de Goiás</t>
  </si>
  <si>
    <t>2023-08-22</t>
  </si>
  <si>
    <t>Almeida do Sul</t>
  </si>
  <si>
    <t>2023-08-23</t>
  </si>
  <si>
    <t>Cassiano</t>
  </si>
  <si>
    <t>2023-08-24</t>
  </si>
  <si>
    <t>Vieira</t>
  </si>
  <si>
    <t>Dias de Minas</t>
  </si>
  <si>
    <t>Santos</t>
  </si>
  <si>
    <t>2023-08-25</t>
  </si>
  <si>
    <t>Novaes do Sul</t>
  </si>
  <si>
    <t>das Neves da Prata</t>
  </si>
  <si>
    <t>2023-08-26</t>
  </si>
  <si>
    <t>Melo</t>
  </si>
  <si>
    <t>2023-08-27</t>
  </si>
  <si>
    <t>Rocha das Flores</t>
  </si>
  <si>
    <t>Correia do Campo</t>
  </si>
  <si>
    <t>Costa de Minas</t>
  </si>
  <si>
    <t>2023-08-28</t>
  </si>
  <si>
    <t>Freitas de Lima</t>
  </si>
  <si>
    <t>2023-08-29</t>
  </si>
  <si>
    <t>2023-08-30</t>
  </si>
  <si>
    <t>Siqueira</t>
  </si>
  <si>
    <t>2023-09-02</t>
  </si>
  <si>
    <t>Fogaça</t>
  </si>
  <si>
    <t>Peixoto de Minas</t>
  </si>
  <si>
    <t>2023-09-04</t>
  </si>
  <si>
    <t>da Costa da Prata</t>
  </si>
  <si>
    <t>2023-09-05</t>
  </si>
  <si>
    <t>Ribeiro</t>
  </si>
  <si>
    <t>Rodrigues de Goiás</t>
  </si>
  <si>
    <t>2023-09-06</t>
  </si>
  <si>
    <t>da Cruz</t>
  </si>
  <si>
    <t>2023-09-07</t>
  </si>
  <si>
    <t>Albuquerque</t>
  </si>
  <si>
    <t>2023-09-08</t>
  </si>
  <si>
    <t>Nascimento</t>
  </si>
  <si>
    <t>2023-09-10</t>
  </si>
  <si>
    <t>Cirino</t>
  </si>
  <si>
    <t>2023-09-12</t>
  </si>
  <si>
    <t>2023-09-13</t>
  </si>
  <si>
    <t>2023-09-14</t>
  </si>
  <si>
    <t>Teixeira de Cassiano</t>
  </si>
  <si>
    <t>2023-09-15</t>
  </si>
  <si>
    <t>Barbosa</t>
  </si>
  <si>
    <t>2023-09-16</t>
  </si>
  <si>
    <t>Rezende do Amparo</t>
  </si>
  <si>
    <t>2023-09-17</t>
  </si>
  <si>
    <t>2023-09-18</t>
  </si>
  <si>
    <t>Ferreira da Serra</t>
  </si>
  <si>
    <t>2023-09-19</t>
  </si>
  <si>
    <t>Castro de Goiás</t>
  </si>
  <si>
    <t>2023-09-20</t>
  </si>
  <si>
    <t>da Costa</t>
  </si>
  <si>
    <t>da Cruz do Sul</t>
  </si>
  <si>
    <t>2023-09-21</t>
  </si>
  <si>
    <t>Almeida Alegre</t>
  </si>
  <si>
    <t>Ferreira</t>
  </si>
  <si>
    <t>2023-09-22</t>
  </si>
  <si>
    <t>da Luz</t>
  </si>
  <si>
    <t>2023-09-23</t>
  </si>
  <si>
    <t>Leão do Campo</t>
  </si>
  <si>
    <t>2023-09-24</t>
  </si>
  <si>
    <t>Rocha de Sá</t>
  </si>
  <si>
    <t>Gomes</t>
  </si>
  <si>
    <t>Vasconcelos Alegre</t>
  </si>
  <si>
    <t>da Paz da Prata</t>
  </si>
  <si>
    <t>2023-09-25</t>
  </si>
  <si>
    <t>Fogaça do Galho</t>
  </si>
  <si>
    <t>Santos do Norte</t>
  </si>
  <si>
    <t>2023-09-26</t>
  </si>
  <si>
    <t>Vargas Paulista</t>
  </si>
  <si>
    <t>Leão do Amparo</t>
  </si>
  <si>
    <t>2023-09-28</t>
  </si>
  <si>
    <t>Gonçalves do Amparo</t>
  </si>
  <si>
    <t>Carvalho</t>
  </si>
  <si>
    <t>2023-09-29</t>
  </si>
  <si>
    <t>Macedo</t>
  </si>
  <si>
    <t>Rezende do Oeste</t>
  </si>
  <si>
    <t>2023-09-30</t>
  </si>
  <si>
    <t>Oliveira da Praia</t>
  </si>
  <si>
    <t>2023-10-01</t>
  </si>
  <si>
    <t>Rodrigues</t>
  </si>
  <si>
    <t>2023-10-02</t>
  </si>
  <si>
    <t>Aragão do Oeste</t>
  </si>
  <si>
    <t>2023-10-03</t>
  </si>
  <si>
    <t>2023-10-06</t>
  </si>
  <si>
    <t>Moraes do Sul</t>
  </si>
  <si>
    <t>2023-10-07</t>
  </si>
  <si>
    <t>Mendonça da Mata</t>
  </si>
  <si>
    <t>2023-10-08</t>
  </si>
  <si>
    <t>2023-10-09</t>
  </si>
  <si>
    <t>Melo da Serra</t>
  </si>
  <si>
    <t>Gonçalves</t>
  </si>
  <si>
    <t>Macedo da Praia</t>
  </si>
  <si>
    <t>Pereira de Cardoso</t>
  </si>
  <si>
    <t>Moraes da Prata</t>
  </si>
  <si>
    <t>Correia</t>
  </si>
  <si>
    <t>2023-10-10</t>
  </si>
  <si>
    <t>da Mota</t>
  </si>
  <si>
    <t>2023-10-11</t>
  </si>
  <si>
    <t>Silva de Farias</t>
  </si>
  <si>
    <t>Sampaio de Rios</t>
  </si>
  <si>
    <t>Marques do Sul</t>
  </si>
  <si>
    <t>Alves da Serra</t>
  </si>
  <si>
    <t>2023-10-12</t>
  </si>
  <si>
    <t>Dias Grande</t>
  </si>
  <si>
    <t>Aparecida</t>
  </si>
  <si>
    <t>Moraes Alegre</t>
  </si>
  <si>
    <t>2023-10-13</t>
  </si>
  <si>
    <t>Sousa de Rodrigues</t>
  </si>
  <si>
    <t>Freitas</t>
  </si>
  <si>
    <t>2023-10-14</t>
  </si>
  <si>
    <t>Cirino da Praia</t>
  </si>
  <si>
    <t>2023-10-15</t>
  </si>
  <si>
    <t>Jesus</t>
  </si>
  <si>
    <t>2023-10-16</t>
  </si>
  <si>
    <t>da Costa de Vasconcelos</t>
  </si>
  <si>
    <t>Cavalcante</t>
  </si>
  <si>
    <t>Dias do Sul</t>
  </si>
  <si>
    <t>Rios do Amparo</t>
  </si>
  <si>
    <t>2023-10-17</t>
  </si>
  <si>
    <t>Araújo de Casa Grande</t>
  </si>
  <si>
    <t>2023-10-18</t>
  </si>
  <si>
    <t>Nunes Alegre</t>
  </si>
  <si>
    <t>Caldeira</t>
  </si>
  <si>
    <t>Lima</t>
  </si>
  <si>
    <t>Fernandes de Moreira</t>
  </si>
  <si>
    <t>Farias de Peixoto</t>
  </si>
  <si>
    <t>Abreu da Serra</t>
  </si>
  <si>
    <t>2023-10-19</t>
  </si>
  <si>
    <t>Araújo da Prata</t>
  </si>
  <si>
    <t>Cirino de Correia</t>
  </si>
  <si>
    <t>2023-10-20</t>
  </si>
  <si>
    <t>Rios</t>
  </si>
  <si>
    <t>2023-10-21</t>
  </si>
  <si>
    <t>2023-10-22</t>
  </si>
  <si>
    <t>Sales</t>
  </si>
  <si>
    <t>2023-10-23</t>
  </si>
  <si>
    <t>Pires Verde</t>
  </si>
  <si>
    <t>2023-10-24</t>
  </si>
  <si>
    <t>das Neves da Praia</t>
  </si>
  <si>
    <t>Pimenta das Flores</t>
  </si>
  <si>
    <t>2023-10-25</t>
  </si>
  <si>
    <t>2023-10-26</t>
  </si>
  <si>
    <t>Sampaio das Pedras</t>
  </si>
  <si>
    <t>Lima Alegre</t>
  </si>
  <si>
    <t>Andrade de Goiás</t>
  </si>
  <si>
    <t>2023-10-27</t>
  </si>
  <si>
    <t>Cunha</t>
  </si>
  <si>
    <t>2023-10-28</t>
  </si>
  <si>
    <t>Pereira de Oliveira</t>
  </si>
  <si>
    <t>2023-10-29</t>
  </si>
  <si>
    <t>Cassiano de Câmara</t>
  </si>
  <si>
    <t>Carvalho de Campos</t>
  </si>
  <si>
    <t>2023-10-30</t>
  </si>
  <si>
    <t>Mendonça da Serra</t>
  </si>
  <si>
    <t>2023-10-31</t>
  </si>
  <si>
    <t>da Cunha de Campos</t>
  </si>
  <si>
    <t>Fonseca</t>
  </si>
  <si>
    <t>Casa Grande</t>
  </si>
  <si>
    <t>2023-11-01</t>
  </si>
  <si>
    <t>Marques de Martins</t>
  </si>
  <si>
    <t>2023-11-02</t>
  </si>
  <si>
    <t>Almeida dos Dourados</t>
  </si>
  <si>
    <t>Sousa do Norte</t>
  </si>
  <si>
    <t>2023-11-03</t>
  </si>
  <si>
    <t>Souza do Norte</t>
  </si>
  <si>
    <t>Vargas do Oeste</t>
  </si>
  <si>
    <t>Martins de Minas</t>
  </si>
  <si>
    <t>Peixoto da Praia</t>
  </si>
  <si>
    <t>Almeida</t>
  </si>
  <si>
    <t>2023-11-04</t>
  </si>
  <si>
    <t>Caldeira do Campo</t>
  </si>
  <si>
    <t>Pastor de Mendonça</t>
  </si>
  <si>
    <t>Novais Alegre</t>
  </si>
  <si>
    <t>Vargas Grande</t>
  </si>
  <si>
    <t>Sá</t>
  </si>
  <si>
    <t>2023-11-05</t>
  </si>
  <si>
    <t>Costela da Serra</t>
  </si>
  <si>
    <t>Cunha Alegre</t>
  </si>
  <si>
    <t>Camargo Alegre</t>
  </si>
  <si>
    <t>2023-11-06</t>
  </si>
  <si>
    <t>Rodrigues do Galho</t>
  </si>
  <si>
    <t>PA</t>
  </si>
  <si>
    <t>Cardoso de Costela</t>
  </si>
  <si>
    <t>Garcia do Galho</t>
  </si>
  <si>
    <t>2023-11-07</t>
  </si>
  <si>
    <t>Duarte Verde</t>
  </si>
  <si>
    <t>Teixeira de Gomes</t>
  </si>
  <si>
    <t>Machado do Sul</t>
  </si>
  <si>
    <t>Rezende de Alves</t>
  </si>
  <si>
    <t>Silveira Verde</t>
  </si>
  <si>
    <t>2023-11-08</t>
  </si>
  <si>
    <t>Aparecida de da Rosa</t>
  </si>
  <si>
    <t>2023-11-09</t>
  </si>
  <si>
    <t>Carvalho de Silveira</t>
  </si>
  <si>
    <t>Freitas dos Dourados</t>
  </si>
  <si>
    <t>Pastor das Pedras</t>
  </si>
  <si>
    <t>da Cunha de Fonseca</t>
  </si>
  <si>
    <t>2023-11-10</t>
  </si>
  <si>
    <t>Nunes de Teixeira</t>
  </si>
  <si>
    <t>2023-11-11</t>
  </si>
  <si>
    <t>Santos de da Cruz</t>
  </si>
  <si>
    <t>2023-11-12</t>
  </si>
  <si>
    <t>Farias</t>
  </si>
  <si>
    <t>Costa Alegre</t>
  </si>
  <si>
    <t>Almeida de Vieira</t>
  </si>
  <si>
    <t>2023-11-13</t>
  </si>
  <si>
    <t>Correia de Freitas</t>
  </si>
  <si>
    <t>2023-11-14</t>
  </si>
  <si>
    <t>Rocha da Prata</t>
  </si>
  <si>
    <t>Alves do Amparo</t>
  </si>
  <si>
    <t>2023-11-15</t>
  </si>
  <si>
    <t>2023-11-16</t>
  </si>
  <si>
    <t>da Cruz do Oeste</t>
  </si>
  <si>
    <t>Machado</t>
  </si>
  <si>
    <t>Cavalcanti da Mata</t>
  </si>
  <si>
    <t>Rocha Grande</t>
  </si>
  <si>
    <t>2023-11-17</t>
  </si>
  <si>
    <t>Novaes</t>
  </si>
  <si>
    <t>Pacheco da Praia</t>
  </si>
  <si>
    <t>2023-11-19</t>
  </si>
  <si>
    <t>da Rocha das Flores</t>
  </si>
  <si>
    <t>Monteiro do Amparo</t>
  </si>
  <si>
    <t>Azevedo</t>
  </si>
  <si>
    <t>Siqueira Alegre</t>
  </si>
  <si>
    <t>Moreira de Brito</t>
  </si>
  <si>
    <t>da Cruz de Viana</t>
  </si>
  <si>
    <t>2023-11-20</t>
  </si>
  <si>
    <t>Garcia</t>
  </si>
  <si>
    <t>Caldeira de Albuquerque</t>
  </si>
  <si>
    <t>2023-11-21</t>
  </si>
  <si>
    <t>Ferreira das Pedras</t>
  </si>
  <si>
    <t>Moreira de Souza</t>
  </si>
  <si>
    <t>Novaes de Minas</t>
  </si>
  <si>
    <t>Vasconcelos de Carvalho</t>
  </si>
  <si>
    <t>2023-11-22</t>
  </si>
  <si>
    <t>Mendonça</t>
  </si>
  <si>
    <t>2023-11-23</t>
  </si>
  <si>
    <t>Cassiano de Minas</t>
  </si>
  <si>
    <t>Camargo de Freitas</t>
  </si>
  <si>
    <t>Novaes de Cunha</t>
  </si>
  <si>
    <t>Pimenta</t>
  </si>
  <si>
    <t>2023-11-24</t>
  </si>
  <si>
    <t>da Rocha</t>
  </si>
  <si>
    <t>Araújo Grande</t>
  </si>
  <si>
    <t>2023-11-25</t>
  </si>
  <si>
    <t>Costela das Pedras</t>
  </si>
  <si>
    <t>Moura de Pimenta</t>
  </si>
  <si>
    <t>2023-11-26</t>
  </si>
  <si>
    <t>das Neves</t>
  </si>
  <si>
    <t>2023-11-27</t>
  </si>
  <si>
    <t>Costa Paulista</t>
  </si>
  <si>
    <t>Novais</t>
  </si>
  <si>
    <t>2023-11-28</t>
  </si>
  <si>
    <t>Carvalho da Prata</t>
  </si>
  <si>
    <t>Cardoso do Galho</t>
  </si>
  <si>
    <t>2023-11-29</t>
  </si>
  <si>
    <t>2023-11-30</t>
  </si>
  <si>
    <t>Moura do Galho</t>
  </si>
  <si>
    <t>Freitas do Sul</t>
  </si>
  <si>
    <t>2023-12-01</t>
  </si>
  <si>
    <t>Camargo de Moura</t>
  </si>
  <si>
    <t>Cirino da Mata</t>
  </si>
  <si>
    <t>2023-12-02</t>
  </si>
  <si>
    <t>Fernandes de Minas</t>
  </si>
  <si>
    <t>Nunes da Prata</t>
  </si>
  <si>
    <t>Aparecida de Siqueira</t>
  </si>
  <si>
    <t>Nascimento Alegre</t>
  </si>
  <si>
    <t>Campos</t>
  </si>
  <si>
    <t>2023-12-03</t>
  </si>
  <si>
    <t>Souza Verde</t>
  </si>
  <si>
    <t>Sousa das Pedras</t>
  </si>
  <si>
    <t>2023-12-04</t>
  </si>
  <si>
    <t>da Cruz das Flores</t>
  </si>
  <si>
    <t>2023-12-05</t>
  </si>
  <si>
    <t>Novais de Silva</t>
  </si>
  <si>
    <t>Campos de Minas</t>
  </si>
  <si>
    <t>Lima Paulista</t>
  </si>
  <si>
    <t>2023-12-06</t>
  </si>
  <si>
    <t>Cavalcanti das Flores</t>
  </si>
  <si>
    <t>da Luz de Sales</t>
  </si>
  <si>
    <t>Almeida de Albuquerque</t>
  </si>
  <si>
    <t>Cassiano dos Dourados</t>
  </si>
  <si>
    <t>Barbosa dos Dourados</t>
  </si>
  <si>
    <t>Mendes de Goiás</t>
  </si>
  <si>
    <t>2023-12-07</t>
  </si>
  <si>
    <t>Peixoto de Castro</t>
  </si>
  <si>
    <t>Albuquerque da Praia</t>
  </si>
  <si>
    <t>Rodrigues de da Cunha</t>
  </si>
  <si>
    <t>Martins de Rodrigues</t>
  </si>
  <si>
    <t>2023-12-08</t>
  </si>
  <si>
    <t>Costela</t>
  </si>
  <si>
    <t>Gonçalves Verde</t>
  </si>
  <si>
    <t>Siqueira de Pacheco</t>
  </si>
  <si>
    <t>Jesus dos Dourados</t>
  </si>
  <si>
    <t>2023-12-09</t>
  </si>
  <si>
    <t>Pastor do Campo</t>
  </si>
  <si>
    <t>Cardoso</t>
  </si>
  <si>
    <t>Brito de Goiás</t>
  </si>
  <si>
    <t>Novais da Prata</t>
  </si>
  <si>
    <t>2023-12-10</t>
  </si>
  <si>
    <t>Pacheco das Flores</t>
  </si>
  <si>
    <t>da Paz Grande</t>
  </si>
  <si>
    <t>2023-12-11</t>
  </si>
  <si>
    <t>Rezende dos Dourados</t>
  </si>
  <si>
    <t>Nogueira da Serra</t>
  </si>
  <si>
    <t>Viana dos Dourados</t>
  </si>
  <si>
    <t>2023-12-12</t>
  </si>
  <si>
    <t>Montenegro das Flores</t>
  </si>
  <si>
    <t>Montenegro de Abreu</t>
  </si>
  <si>
    <t>Santos Verde</t>
  </si>
  <si>
    <t>2023-12-13</t>
  </si>
  <si>
    <t>Martins da Praia</t>
  </si>
  <si>
    <t>Nogueira de Goiás</t>
  </si>
  <si>
    <t>Cardoso Verde</t>
  </si>
  <si>
    <t>Cavalcanti</t>
  </si>
  <si>
    <t>Mendonça do Sul</t>
  </si>
  <si>
    <t>Castro Verde</t>
  </si>
  <si>
    <t>Aparecida da Praia</t>
  </si>
  <si>
    <t>Lopes Verde</t>
  </si>
  <si>
    <t>Araújo de Almeida</t>
  </si>
  <si>
    <t>Lopes do Galho</t>
  </si>
  <si>
    <t>2023-12-14</t>
  </si>
  <si>
    <t>Caldeira de Barros</t>
  </si>
  <si>
    <t>Sousa do Sul</t>
  </si>
  <si>
    <t>Garcia da Praia</t>
  </si>
  <si>
    <t>Casa Grande da Serra</t>
  </si>
  <si>
    <t>2023-12-15</t>
  </si>
  <si>
    <t>Andrade do Sul</t>
  </si>
  <si>
    <t>2023-12-16</t>
  </si>
  <si>
    <t>Siqueira da Serra</t>
  </si>
  <si>
    <t>Barros da Praia</t>
  </si>
  <si>
    <t>da Mata Grande</t>
  </si>
  <si>
    <t>Farias da Serra</t>
  </si>
  <si>
    <t>2023-12-17</t>
  </si>
  <si>
    <t>Rios do Sul</t>
  </si>
  <si>
    <t>Moreira da Prata</t>
  </si>
  <si>
    <t>Barros de Minas</t>
  </si>
  <si>
    <t>2023-12-18</t>
  </si>
  <si>
    <t>Campos da Prata</t>
  </si>
  <si>
    <t>Sá de Cavalcante</t>
  </si>
  <si>
    <t>da Conceição das Flores</t>
  </si>
  <si>
    <t>2023-12-19</t>
  </si>
  <si>
    <t>Pires de Farias</t>
  </si>
  <si>
    <t>Silva de Pimenta</t>
  </si>
  <si>
    <t>Câmara</t>
  </si>
  <si>
    <t>Leão das Pedras</t>
  </si>
  <si>
    <t>Silva</t>
  </si>
  <si>
    <t>2023-12-20</t>
  </si>
  <si>
    <t>Azevedo das Pedras</t>
  </si>
  <si>
    <t>Pacheco</t>
  </si>
  <si>
    <t>Fernandes do Galho</t>
  </si>
  <si>
    <t>2023-12-21</t>
  </si>
  <si>
    <t>Rodrigues do Norte</t>
  </si>
  <si>
    <t>Moura</t>
  </si>
  <si>
    <t>Alves do Galho</t>
  </si>
  <si>
    <t>2023-12-22</t>
  </si>
  <si>
    <t>Mendes do Oeste</t>
  </si>
  <si>
    <t>Correia Grande</t>
  </si>
  <si>
    <t>2023-12-23</t>
  </si>
  <si>
    <t>Martins de Goiás</t>
  </si>
  <si>
    <t>Carvalho das Pedras</t>
  </si>
  <si>
    <t>Fogaça da Mata</t>
  </si>
  <si>
    <t>Pires de Cassiano</t>
  </si>
  <si>
    <t>Sousa do Campo</t>
  </si>
  <si>
    <t>2023-12-24</t>
  </si>
  <si>
    <t>Moura do Oeste</t>
  </si>
  <si>
    <t>Teixeira do Norte</t>
  </si>
  <si>
    <t>2023-12-25</t>
  </si>
  <si>
    <t>da Luz da Prata</t>
  </si>
  <si>
    <t>Pacheco do Sul</t>
  </si>
  <si>
    <t>Souza</t>
  </si>
  <si>
    <t>Costa do Sul</t>
  </si>
  <si>
    <t>2023-12-26</t>
  </si>
  <si>
    <t>Montenegro do Campo</t>
  </si>
  <si>
    <t>2023-12-27</t>
  </si>
  <si>
    <t>Albuquerque do Campo</t>
  </si>
  <si>
    <t>Alves</t>
  </si>
  <si>
    <t>Dias dos Dourados</t>
  </si>
  <si>
    <t>2023-12-28</t>
  </si>
  <si>
    <t>da Paz do Oeste</t>
  </si>
  <si>
    <t>Mendonça das Flores</t>
  </si>
  <si>
    <t>Abreu das Flores</t>
  </si>
  <si>
    <t>2023-12-29</t>
  </si>
  <si>
    <t>Nunes do Amparo</t>
  </si>
  <si>
    <t>Sousa Verde</t>
  </si>
  <si>
    <t>Cunha de Moreira</t>
  </si>
  <si>
    <t>2023-12-30</t>
  </si>
  <si>
    <t>2023-12-31</t>
  </si>
  <si>
    <t>Viana Alegre</t>
  </si>
  <si>
    <t>da Mota Paulista</t>
  </si>
  <si>
    <t>Peixoto da Serra</t>
  </si>
  <si>
    <t>Teixeira do Galho</t>
  </si>
  <si>
    <t>2024-01-01</t>
  </si>
  <si>
    <t>Albuquerque de Goiás</t>
  </si>
  <si>
    <t>Cunha dos Dourados</t>
  </si>
  <si>
    <t>2024-01-02</t>
  </si>
  <si>
    <t>Silva de Gomes</t>
  </si>
  <si>
    <t>Camargo dos Dourados</t>
  </si>
  <si>
    <t>Barros de Pereira</t>
  </si>
  <si>
    <t>Sampaio da Prata</t>
  </si>
  <si>
    <t>2024-01-03</t>
  </si>
  <si>
    <t>Azevedo da Serra</t>
  </si>
  <si>
    <t>Dias</t>
  </si>
  <si>
    <t>2024-01-04</t>
  </si>
  <si>
    <t>da Cruz de Costa</t>
  </si>
  <si>
    <t>Garcia da Serra</t>
  </si>
  <si>
    <t>Silva de Fogaça</t>
  </si>
  <si>
    <t>2024-01-05</t>
  </si>
  <si>
    <t>2024-01-06</t>
  </si>
  <si>
    <t>2024-01-07</t>
  </si>
  <si>
    <t>Porto do Amparo</t>
  </si>
  <si>
    <t>da Conceição do Galho</t>
  </si>
  <si>
    <t>Ramos da Serra</t>
  </si>
  <si>
    <t>2024-01-08</t>
  </si>
  <si>
    <t>Brito das Flores</t>
  </si>
  <si>
    <t>Sousa do Galho</t>
  </si>
  <si>
    <t>Guerra de da Luz</t>
  </si>
  <si>
    <t>2024-01-09</t>
  </si>
  <si>
    <t>Jesus da Praia</t>
  </si>
  <si>
    <t>Vasconcelos da Prata</t>
  </si>
  <si>
    <t>2024-01-10</t>
  </si>
  <si>
    <t>da Paz de Novaes</t>
  </si>
  <si>
    <t>2024-01-11</t>
  </si>
  <si>
    <t>Monteiro de Cavalcanti</t>
  </si>
  <si>
    <t>2024-01-12</t>
  </si>
  <si>
    <t>Cavalcanti Paulista</t>
  </si>
  <si>
    <t>2024-01-13</t>
  </si>
  <si>
    <t>Pereira do Sul</t>
  </si>
  <si>
    <t>2024-01-14</t>
  </si>
  <si>
    <t>Cavalcante de Câmara</t>
  </si>
  <si>
    <t>Correia de Pereira</t>
  </si>
  <si>
    <t>da Mata da Mata</t>
  </si>
  <si>
    <t>Ferreira da Praia</t>
  </si>
  <si>
    <t>Camargo de Cassiano</t>
  </si>
  <si>
    <t>Aparecida do Campo</t>
  </si>
  <si>
    <t>2024-01-15</t>
  </si>
  <si>
    <t>Marques de Goiás</t>
  </si>
  <si>
    <t>2024-01-16</t>
  </si>
  <si>
    <t>Nascimento Grande</t>
  </si>
  <si>
    <t>2024-01-17</t>
  </si>
  <si>
    <t>Campos do Amparo</t>
  </si>
  <si>
    <t>Cardoso de Andrade</t>
  </si>
  <si>
    <t>2024-01-18</t>
  </si>
  <si>
    <t>da Conceição</t>
  </si>
  <si>
    <t>Peixoto de Cunha</t>
  </si>
  <si>
    <t>Pires do Galho</t>
  </si>
  <si>
    <t>Casa Grande de Goiás</t>
  </si>
  <si>
    <t>2024-01-19</t>
  </si>
  <si>
    <t>Campos das Pedras</t>
  </si>
  <si>
    <t>Pires da Praia</t>
  </si>
  <si>
    <t>Monteiro Alegre</t>
  </si>
  <si>
    <t>2024-01-20</t>
  </si>
  <si>
    <t>Castro da Praia</t>
  </si>
  <si>
    <t>2024-01-21</t>
  </si>
  <si>
    <t>Almeida da Praia</t>
  </si>
  <si>
    <t>Albuquerque do Oeste</t>
  </si>
  <si>
    <t>Aparecida de Aparecida</t>
  </si>
  <si>
    <t>2024-01-22</t>
  </si>
  <si>
    <t>Pacheco da Serra</t>
  </si>
  <si>
    <t>Nunes</t>
  </si>
  <si>
    <t>2024-01-23</t>
  </si>
  <si>
    <t>Ferreira do Campo</t>
  </si>
  <si>
    <t>Barros das Flores</t>
  </si>
  <si>
    <t>Casa Grande de da Costa</t>
  </si>
  <si>
    <t>Araújo</t>
  </si>
  <si>
    <t>2024-01-24</t>
  </si>
  <si>
    <t>Mendes dos Dourados</t>
  </si>
  <si>
    <t>Camargo de Ferreira</t>
  </si>
  <si>
    <t>Ramos</t>
  </si>
  <si>
    <t>2024-01-25</t>
  </si>
  <si>
    <t>Dias Verde</t>
  </si>
  <si>
    <t>Novaes de Silva</t>
  </si>
  <si>
    <t>2024-01-26</t>
  </si>
  <si>
    <t>Montenegro do Oeste</t>
  </si>
  <si>
    <t>Costa das Flores</t>
  </si>
  <si>
    <t>2024-01-27</t>
  </si>
  <si>
    <t>Sá Grande</t>
  </si>
  <si>
    <t>Rocha de Oliveira</t>
  </si>
  <si>
    <t>Oliveira do Norte</t>
  </si>
  <si>
    <t>Abreu Verde</t>
  </si>
  <si>
    <t>Nascimento de Goiás</t>
  </si>
  <si>
    <t>2024-01-28</t>
  </si>
  <si>
    <t>Correia de Minas</t>
  </si>
  <si>
    <t>Aparecida de Fogaça</t>
  </si>
  <si>
    <t>Duarte do Sul</t>
  </si>
  <si>
    <t>Araújo do Galho</t>
  </si>
  <si>
    <t>2024-01-29</t>
  </si>
  <si>
    <t>Gomes da Mata</t>
  </si>
  <si>
    <t>Freitas do Galho</t>
  </si>
  <si>
    <t>Casa Grande do Norte</t>
  </si>
  <si>
    <t>Gomes Verde</t>
  </si>
  <si>
    <t>2024-01-30</t>
  </si>
  <si>
    <t>Peixoto dos Dourados</t>
  </si>
  <si>
    <t>Alves de Minas</t>
  </si>
  <si>
    <t>Rodrigues do Amparo</t>
  </si>
  <si>
    <t>2024-01-31</t>
  </si>
  <si>
    <t>Rodrigues das Pedras</t>
  </si>
  <si>
    <t>Silva da Prata</t>
  </si>
  <si>
    <t>Machado do Amparo</t>
  </si>
  <si>
    <t>2024-02-01</t>
  </si>
  <si>
    <t>Almeida de das Neves</t>
  </si>
  <si>
    <t>Rezende da Prata</t>
  </si>
  <si>
    <t>2024-02-02</t>
  </si>
  <si>
    <t>da Luz das Flores</t>
  </si>
  <si>
    <t>Souza de Goiás</t>
  </si>
  <si>
    <t>Dias do Norte</t>
  </si>
  <si>
    <t>2024-02-03</t>
  </si>
  <si>
    <t>das Neves das Flores</t>
  </si>
  <si>
    <t>Pacheco do Oeste</t>
  </si>
  <si>
    <t>Mendonça de Cavalcante</t>
  </si>
  <si>
    <t>2024-02-04</t>
  </si>
  <si>
    <t>2024-02-05</t>
  </si>
  <si>
    <t>2024-02-06</t>
  </si>
  <si>
    <t>Rios do Galho</t>
  </si>
  <si>
    <t>Rocha de Câmara</t>
  </si>
  <si>
    <t>2024-02-07</t>
  </si>
  <si>
    <t>Porto Paulista</t>
  </si>
  <si>
    <t>Lima de Melo</t>
  </si>
  <si>
    <t>Pires da Mata</t>
  </si>
  <si>
    <t>2024-02-08</t>
  </si>
  <si>
    <t>Sá da Mata</t>
  </si>
  <si>
    <t>da Mata de Costa</t>
  </si>
  <si>
    <t>Andrade de Lopes</t>
  </si>
  <si>
    <t>Aragão do Sul</t>
  </si>
  <si>
    <t>2024-02-09</t>
  </si>
  <si>
    <t>Lima de Almeida</t>
  </si>
  <si>
    <t>Aragão da Praia</t>
  </si>
  <si>
    <t>2024-02-10</t>
  </si>
  <si>
    <t>Albuquerque da Mata</t>
  </si>
  <si>
    <t>Viana do Amparo</t>
  </si>
  <si>
    <t>2024-02-11</t>
  </si>
  <si>
    <t>2024-02-12</t>
  </si>
  <si>
    <t>Vasconcelos da Mata</t>
  </si>
  <si>
    <t>Sales da Serra</t>
  </si>
  <si>
    <t>Sampaio de Minas</t>
  </si>
  <si>
    <t>da Cunha de Andrade</t>
  </si>
  <si>
    <t>2024-02-13</t>
  </si>
  <si>
    <t>Aparecida das Flores</t>
  </si>
  <si>
    <t>Nunes da Praia</t>
  </si>
  <si>
    <t>2024-02-14</t>
  </si>
  <si>
    <t>Castro de Brito</t>
  </si>
  <si>
    <t>Castro Paulista</t>
  </si>
  <si>
    <t>Lopes de Alves</t>
  </si>
  <si>
    <t>2024-02-15</t>
  </si>
  <si>
    <t>Caldeira de da Cruz</t>
  </si>
  <si>
    <t>2024-02-16</t>
  </si>
  <si>
    <t>Montenegro de Santos</t>
  </si>
  <si>
    <t>Jesus de Jesus</t>
  </si>
  <si>
    <t>Mendes do Galho</t>
  </si>
  <si>
    <t>Melo de Pires</t>
  </si>
  <si>
    <t>Aragão de Novais</t>
  </si>
  <si>
    <t>2024-02-17</t>
  </si>
  <si>
    <t>Sá do Amparo</t>
  </si>
  <si>
    <t>2024-02-18</t>
  </si>
  <si>
    <t>Vieira do Norte</t>
  </si>
  <si>
    <t>Lopes de Guerra</t>
  </si>
  <si>
    <t>Porto</t>
  </si>
  <si>
    <t>2024-02-19</t>
  </si>
  <si>
    <t>Alves do Norte</t>
  </si>
  <si>
    <t>Ribeiro das Flores</t>
  </si>
  <si>
    <t>2024-02-20</t>
  </si>
  <si>
    <t>Costa de Brito</t>
  </si>
  <si>
    <t>Fernandes do Sul</t>
  </si>
  <si>
    <t>2024-02-21</t>
  </si>
  <si>
    <t>Cavalcante do Campo</t>
  </si>
  <si>
    <t>Aragão de Minas</t>
  </si>
  <si>
    <t>2024-02-22</t>
  </si>
  <si>
    <t>Lima de da Paz</t>
  </si>
  <si>
    <t>2024-02-23</t>
  </si>
  <si>
    <t>Teixeira da Mata</t>
  </si>
  <si>
    <t>Sales do Norte</t>
  </si>
  <si>
    <t>Moraes da Praia</t>
  </si>
  <si>
    <t>Marques das Pedras</t>
  </si>
  <si>
    <t>2024-02-24</t>
  </si>
  <si>
    <t>Duarte do Amparo</t>
  </si>
  <si>
    <t>Borges de Melo</t>
  </si>
  <si>
    <t>2024-02-25</t>
  </si>
  <si>
    <t>2024-02-26</t>
  </si>
  <si>
    <t>Brito do Oeste</t>
  </si>
  <si>
    <t>2024-02-27</t>
  </si>
  <si>
    <t>da Luz de Pires</t>
  </si>
  <si>
    <t>2024-02-28</t>
  </si>
  <si>
    <t>Alves Alegre</t>
  </si>
  <si>
    <t>Cassiano de Pires</t>
  </si>
  <si>
    <t>Freitas de Andrade</t>
  </si>
  <si>
    <t>da Paz da Serra</t>
  </si>
  <si>
    <t>Rezende Alegre</t>
  </si>
  <si>
    <t>2024-02-29</t>
  </si>
  <si>
    <t>2024-03-01</t>
  </si>
  <si>
    <t>Cavalcanti da Praia</t>
  </si>
  <si>
    <t>Sales do Oeste</t>
  </si>
  <si>
    <t>Pereira do Campo</t>
  </si>
  <si>
    <t>da Conceição de Nascimento</t>
  </si>
  <si>
    <t>2024-03-02</t>
  </si>
  <si>
    <t>da Cunha do Sul</t>
  </si>
  <si>
    <t>2024-03-03</t>
  </si>
  <si>
    <t>Andrade Alegre</t>
  </si>
  <si>
    <t>Montenegro Alegre</t>
  </si>
  <si>
    <t>2024-03-04</t>
  </si>
  <si>
    <t>Duarte Alegre</t>
  </si>
  <si>
    <t>2024-03-05</t>
  </si>
  <si>
    <t>Fogaça do Oeste</t>
  </si>
  <si>
    <t>Sampaio de Alves</t>
  </si>
  <si>
    <t>Moura de Porto</t>
  </si>
  <si>
    <t>2024-03-06</t>
  </si>
  <si>
    <t>Rodrigues da Serra</t>
  </si>
  <si>
    <t>2024-03-07</t>
  </si>
  <si>
    <t>Albuquerque dos Dourados</t>
  </si>
  <si>
    <t>2024-03-08</t>
  </si>
  <si>
    <t>Farias de Viana</t>
  </si>
  <si>
    <t>2024-03-09</t>
  </si>
  <si>
    <t>Andrade Grande</t>
  </si>
  <si>
    <t>Nunes da Mata</t>
  </si>
  <si>
    <t>2024-03-10</t>
  </si>
  <si>
    <t>2024-03-11</t>
  </si>
  <si>
    <t>Lopes de Aparecida</t>
  </si>
  <si>
    <t>2024-03-12</t>
  </si>
  <si>
    <t>Oliveira do Oeste</t>
  </si>
  <si>
    <t>Silveira da Mata</t>
  </si>
  <si>
    <t>2024-03-13</t>
  </si>
  <si>
    <t>Fogaça de Brito</t>
  </si>
  <si>
    <t>2024-03-14</t>
  </si>
  <si>
    <t>Siqueira do Amparo</t>
  </si>
  <si>
    <t>Fernandes da Prata</t>
  </si>
  <si>
    <t>Farias de da Costa</t>
  </si>
  <si>
    <t>2024-03-15</t>
  </si>
  <si>
    <t>Barbosa de Rodrigues</t>
  </si>
  <si>
    <t>2024-03-16</t>
  </si>
  <si>
    <t>Pimenta de Jesus</t>
  </si>
  <si>
    <t>Cirino dos Dourados</t>
  </si>
  <si>
    <t>da Luz do Sul</t>
  </si>
  <si>
    <t>2024-03-17</t>
  </si>
  <si>
    <t>Barros de Castro</t>
  </si>
  <si>
    <t>Gonçalves de Castro</t>
  </si>
  <si>
    <t>Mendes Grande</t>
  </si>
  <si>
    <t>2024-03-18</t>
  </si>
  <si>
    <t>Freitas de Pinto</t>
  </si>
  <si>
    <t>2024-03-19</t>
  </si>
  <si>
    <t>Câmara das Pedras</t>
  </si>
  <si>
    <t>Farias das Flores</t>
  </si>
  <si>
    <t>Macedo de Albuquerque</t>
  </si>
  <si>
    <t>2024-03-20</t>
  </si>
  <si>
    <t>Teixeira Grande</t>
  </si>
  <si>
    <t>da Mata de Macedo</t>
  </si>
  <si>
    <t>Marques do Galho</t>
  </si>
  <si>
    <t>Sousa de Leão</t>
  </si>
  <si>
    <t>2024-03-21</t>
  </si>
  <si>
    <t>da Mota Verde</t>
  </si>
  <si>
    <t>Jesus das Pedras</t>
  </si>
  <si>
    <t>Silva de Brito</t>
  </si>
  <si>
    <t>Vargas do Sul</t>
  </si>
  <si>
    <t>2024-03-22</t>
  </si>
  <si>
    <t>Abreu Grande</t>
  </si>
  <si>
    <t>Moura de Moreira</t>
  </si>
  <si>
    <t>Lopes de Vasconcelos</t>
  </si>
  <si>
    <t>Vargas Verde</t>
  </si>
  <si>
    <t>2024-03-23</t>
  </si>
  <si>
    <t>Vieira de Martins</t>
  </si>
  <si>
    <t>da Paz Alegre</t>
  </si>
  <si>
    <t>Rocha do Campo</t>
  </si>
  <si>
    <t>2024-03-24</t>
  </si>
  <si>
    <t>Siqueira do Norte</t>
  </si>
  <si>
    <t>Camargo do Campo</t>
  </si>
  <si>
    <t>2024-03-25</t>
  </si>
  <si>
    <t>Silva de Carvalho</t>
  </si>
  <si>
    <t>Teixeira das Flores</t>
  </si>
  <si>
    <t>Cavalcante de Pinto</t>
  </si>
  <si>
    <t>2024-03-26</t>
  </si>
  <si>
    <t>Novais do Oeste</t>
  </si>
  <si>
    <t>Caldeira Paulista</t>
  </si>
  <si>
    <t>2024-03-27</t>
  </si>
  <si>
    <t>Pinto da Serra</t>
  </si>
  <si>
    <t>Andrade das Flores</t>
  </si>
  <si>
    <t>Pimenta Paulista</t>
  </si>
  <si>
    <t>Farias dos Dourados</t>
  </si>
  <si>
    <t>Alves de Correia</t>
  </si>
  <si>
    <t>Lima dos Dourados</t>
  </si>
  <si>
    <t>2024-03-28</t>
  </si>
  <si>
    <t>Silveira de Fonseca</t>
  </si>
  <si>
    <t>Carvalho de Cavalcanti</t>
  </si>
  <si>
    <t>da Luz da Serra</t>
  </si>
  <si>
    <t>Macedo de Borges</t>
  </si>
  <si>
    <t>Moura de Carvalho</t>
  </si>
  <si>
    <t>2024-03-29</t>
  </si>
  <si>
    <t>Mendes de Oliveira</t>
  </si>
  <si>
    <t>2024-03-30</t>
  </si>
  <si>
    <t>Azevedo do Amparo</t>
  </si>
  <si>
    <t>Monteiro do Oeste</t>
  </si>
  <si>
    <t>da Conceição Verde</t>
  </si>
  <si>
    <t>Silveira de Leão</t>
  </si>
  <si>
    <t>Pastor Verde</t>
  </si>
  <si>
    <t>Nogueira do Norte</t>
  </si>
  <si>
    <t>2024-03-31</t>
  </si>
  <si>
    <t>Abreu de Farias</t>
  </si>
  <si>
    <t>Casa Grande das Flores</t>
  </si>
  <si>
    <t>Leão Alegre</t>
  </si>
  <si>
    <t>Casa Grande da Praia</t>
  </si>
  <si>
    <t>2024-04-01</t>
  </si>
  <si>
    <t>Castro dos Dourados</t>
  </si>
  <si>
    <t>Carvalho Verde</t>
  </si>
  <si>
    <t>da Rocha Paulista</t>
  </si>
  <si>
    <t>Correia da Mata</t>
  </si>
  <si>
    <t>2024-04-02</t>
  </si>
  <si>
    <t>Jesus das Flores</t>
  </si>
  <si>
    <t>Abreu de da Cunha</t>
  </si>
  <si>
    <t>Pereira do Galho</t>
  </si>
  <si>
    <t>Gonçalves de Ramos</t>
  </si>
  <si>
    <t>2024-04-03</t>
  </si>
  <si>
    <t>Pires das Flores</t>
  </si>
  <si>
    <t>Mendes do Norte</t>
  </si>
  <si>
    <t>Silveira da Serra</t>
  </si>
  <si>
    <t>2024-04-04</t>
  </si>
  <si>
    <t>Farias de Goiás</t>
  </si>
  <si>
    <t>Ribeiro da Prata</t>
  </si>
  <si>
    <t>da Cunha das Pedras</t>
  </si>
  <si>
    <t>Fonseca de da Rosa</t>
  </si>
  <si>
    <t>2024-04-05</t>
  </si>
  <si>
    <t>Barros da Prata</t>
  </si>
  <si>
    <t>Abreu do Campo</t>
  </si>
  <si>
    <t>2024-04-06</t>
  </si>
  <si>
    <t>Lopes do Amparo</t>
  </si>
  <si>
    <t>Lima do Campo</t>
  </si>
  <si>
    <t>2024-04-07</t>
  </si>
  <si>
    <t>Fernandes do Amparo</t>
  </si>
  <si>
    <t>Moraes de Mendonça</t>
  </si>
  <si>
    <t>2024-04-08</t>
  </si>
  <si>
    <t>Pacheco do Norte</t>
  </si>
  <si>
    <t>Martins de Vargas</t>
  </si>
  <si>
    <t>2024-04-09</t>
  </si>
  <si>
    <t>Ribeiro de Lopes</t>
  </si>
  <si>
    <t>Albuquerque Alegre</t>
  </si>
  <si>
    <t>Sales de Farias</t>
  </si>
  <si>
    <t>Machado de Goiás</t>
  </si>
  <si>
    <t>Sampaio</t>
  </si>
  <si>
    <t>2024-04-10</t>
  </si>
  <si>
    <t>da Rocha Grande</t>
  </si>
  <si>
    <t>2024-04-11</t>
  </si>
  <si>
    <t>Moreira da Praia</t>
  </si>
  <si>
    <t>da Mata do Galho</t>
  </si>
  <si>
    <t>2024-04-12</t>
  </si>
  <si>
    <t>Rios das Flores</t>
  </si>
  <si>
    <t>2024-04-13</t>
  </si>
  <si>
    <t>Silveira de Camargo</t>
  </si>
  <si>
    <t>Sampaio de Andrade</t>
  </si>
  <si>
    <t>Montenegro do Galho</t>
  </si>
  <si>
    <t>Rezende da Mata</t>
  </si>
  <si>
    <t>Nunes das Pedras</t>
  </si>
  <si>
    <t>Mendonça de Aparecida</t>
  </si>
  <si>
    <t>2024-04-14</t>
  </si>
  <si>
    <t>Porto do Campo</t>
  </si>
  <si>
    <t>Ramos dos Dourados</t>
  </si>
  <si>
    <t>Santos do Sul</t>
  </si>
  <si>
    <t>Aparecida da Prata</t>
  </si>
  <si>
    <t>2024-04-15</t>
  </si>
  <si>
    <t>Fogaça das Flores</t>
  </si>
  <si>
    <t>Guerra de Novais</t>
  </si>
  <si>
    <t>2024-04-16</t>
  </si>
  <si>
    <t>Pacheco de Nogueira</t>
  </si>
  <si>
    <t>Correia do Amparo</t>
  </si>
  <si>
    <t>Azevedo de Minas</t>
  </si>
  <si>
    <t>Teixeira de Siqueira</t>
  </si>
  <si>
    <t>Porto da Praia</t>
  </si>
  <si>
    <t>2024-04-17</t>
  </si>
  <si>
    <t>Lima de Pires</t>
  </si>
  <si>
    <t>Sousa das Flores</t>
  </si>
  <si>
    <t>Teixeira de da Costa</t>
  </si>
  <si>
    <t>Novaes Paulista</t>
  </si>
  <si>
    <t>Lima das Pedras</t>
  </si>
  <si>
    <t>2024-04-18</t>
  </si>
  <si>
    <t>Alves Grande</t>
  </si>
  <si>
    <t>Câmara do Oeste</t>
  </si>
  <si>
    <t>da Luz do Amparo</t>
  </si>
  <si>
    <t>2024-04-19</t>
  </si>
  <si>
    <t>Nunes do Norte</t>
  </si>
  <si>
    <t>Costa da Prata</t>
  </si>
  <si>
    <t>Monteiro do Galho</t>
  </si>
  <si>
    <t>2024-04-20</t>
  </si>
  <si>
    <t>Santos Alegre</t>
  </si>
  <si>
    <t>Martins do Sul</t>
  </si>
  <si>
    <t>Ribeiro do Oeste</t>
  </si>
  <si>
    <t>2024-04-21</t>
  </si>
  <si>
    <t>Cavalcanti do Amparo</t>
  </si>
  <si>
    <t>2024-04-22</t>
  </si>
  <si>
    <t>Marques de Macedo</t>
  </si>
  <si>
    <t>Rocha Paulista</t>
  </si>
  <si>
    <t>2024-04-23</t>
  </si>
  <si>
    <t>Pires Alegre</t>
  </si>
  <si>
    <t>Aragão das Pedras</t>
  </si>
  <si>
    <t>Pacheco de da Luz</t>
  </si>
  <si>
    <t>2024-04-24</t>
  </si>
  <si>
    <t>Pires de Souza</t>
  </si>
  <si>
    <t>da Costa do Amparo</t>
  </si>
  <si>
    <t>Azevedo da Praia</t>
  </si>
  <si>
    <t>Marques das Flores</t>
  </si>
  <si>
    <t>Montenegro de Gonçalves</t>
  </si>
  <si>
    <t>2024-04-25</t>
  </si>
  <si>
    <t>Novaes das Flores</t>
  </si>
  <si>
    <t>Porto do Oeste</t>
  </si>
  <si>
    <t>Aragão da Serra</t>
  </si>
  <si>
    <t>Lima da Prata</t>
  </si>
  <si>
    <t>2024-04-26</t>
  </si>
  <si>
    <t>Martins da Serra</t>
  </si>
  <si>
    <t>Sampaio das Flores</t>
  </si>
  <si>
    <t>da Mata Verde</t>
  </si>
  <si>
    <t>2024-04-27</t>
  </si>
  <si>
    <t>Fernandes de Castro</t>
  </si>
  <si>
    <t>das Neves da Mata</t>
  </si>
  <si>
    <t>Cavalcanti de Mendonça</t>
  </si>
  <si>
    <t>2024-04-28</t>
  </si>
  <si>
    <t>Pinto de Goiás</t>
  </si>
  <si>
    <t>Pinto de Minas</t>
  </si>
  <si>
    <t>Vieira Paulista</t>
  </si>
  <si>
    <t>Novais de Araújo</t>
  </si>
  <si>
    <t>Casa Grande do Amparo</t>
  </si>
  <si>
    <t>Barbosa da Mata</t>
  </si>
  <si>
    <t>2024-04-29</t>
  </si>
  <si>
    <t>Peixoto do Galho</t>
  </si>
  <si>
    <t>Aragão da Prata</t>
  </si>
  <si>
    <t>Porto do Sul</t>
  </si>
  <si>
    <t>Cavalcanti de Freitas</t>
  </si>
  <si>
    <t>2024-04-30</t>
  </si>
  <si>
    <t>Sales do Sul</t>
  </si>
  <si>
    <t>Guerra do Amparo</t>
  </si>
  <si>
    <t>Costela de Goiás</t>
  </si>
  <si>
    <t>Almeida do Campo</t>
  </si>
  <si>
    <t>Mendes do Amparo</t>
  </si>
  <si>
    <t>2024-05-01</t>
  </si>
  <si>
    <t>Oliveira do Sul</t>
  </si>
  <si>
    <t>Albuquerque Grande</t>
  </si>
  <si>
    <t>Pires de da Cruz</t>
  </si>
  <si>
    <t>Moura dos Dourados</t>
  </si>
  <si>
    <t>2024-05-02</t>
  </si>
  <si>
    <t>Pires das Pedras</t>
  </si>
  <si>
    <t>Moreira de Minas</t>
  </si>
  <si>
    <t>2024-05-03</t>
  </si>
  <si>
    <t>Abreu da Mata</t>
  </si>
  <si>
    <t>Rios da Praia</t>
  </si>
  <si>
    <t>2024-05-04</t>
  </si>
  <si>
    <t>Leão Verde</t>
  </si>
  <si>
    <t>Montenegro Grande</t>
  </si>
  <si>
    <t>2024-05-05</t>
  </si>
  <si>
    <t>da Costa de Gonçalves</t>
  </si>
  <si>
    <t>Brito da Prata</t>
  </si>
  <si>
    <t>da Mota Grande</t>
  </si>
  <si>
    <t>Aragão de Barbosa</t>
  </si>
  <si>
    <t>Porto da Mata</t>
  </si>
  <si>
    <t>Barros de Rocha</t>
  </si>
  <si>
    <t>2024-05-06</t>
  </si>
  <si>
    <t>Carvalho de Melo</t>
  </si>
  <si>
    <t>Lopes da Mata</t>
  </si>
  <si>
    <t>Fonseca do Oeste</t>
  </si>
  <si>
    <t>2024-05-07</t>
  </si>
  <si>
    <t>Ramos de Porto</t>
  </si>
  <si>
    <t>Cavalcanti de Goiás</t>
  </si>
  <si>
    <t>da Costa dos Dourados</t>
  </si>
  <si>
    <t>Pacheco dos Dourados</t>
  </si>
  <si>
    <t>2024-05-08</t>
  </si>
  <si>
    <t>Fonseca do Amparo</t>
  </si>
  <si>
    <t>Camargo de da Paz</t>
  </si>
  <si>
    <t>Aragão de Correia</t>
  </si>
  <si>
    <t>2024-05-09</t>
  </si>
  <si>
    <t>Barbosa da Prata</t>
  </si>
  <si>
    <t>Mendes Verde</t>
  </si>
  <si>
    <t>Pinto do Oeste</t>
  </si>
  <si>
    <t>Marques Alegre</t>
  </si>
  <si>
    <t>2024-05-10</t>
  </si>
  <si>
    <t>Pastor de da Cruz</t>
  </si>
  <si>
    <t>Campos do Norte</t>
  </si>
  <si>
    <t>Guerra da Praia</t>
  </si>
  <si>
    <t>Dias de da Mata</t>
  </si>
  <si>
    <t>2024-05-11</t>
  </si>
  <si>
    <t>Jesus do Sul</t>
  </si>
  <si>
    <t>Camargo do Norte</t>
  </si>
  <si>
    <t>Vieira de Almeida</t>
  </si>
  <si>
    <t>2024-05-12</t>
  </si>
  <si>
    <t>da Rosa dos Dourados</t>
  </si>
  <si>
    <t>Jesus da Prata</t>
  </si>
  <si>
    <t>Sampaio do Norte</t>
  </si>
  <si>
    <t>Rodrigues do Oeste</t>
  </si>
  <si>
    <t>Sá Alegre</t>
  </si>
  <si>
    <t>Viana das Pedras</t>
  </si>
  <si>
    <t>2024-05-13</t>
  </si>
  <si>
    <t>Ribeiro da Mata</t>
  </si>
  <si>
    <t>Freitas das Flores</t>
  </si>
  <si>
    <t>Montenegro Paulista</t>
  </si>
  <si>
    <t>Cirino do Norte</t>
  </si>
  <si>
    <t>Souza Paulista</t>
  </si>
  <si>
    <t>2024-05-14</t>
  </si>
  <si>
    <t>Azevedo da Prata</t>
  </si>
  <si>
    <t>Ramos da Mata</t>
  </si>
  <si>
    <t>Leão da Serra</t>
  </si>
  <si>
    <t>da Rosa de Oliveira</t>
  </si>
  <si>
    <t>Caldeira do Galho</t>
  </si>
  <si>
    <t>Cavalcanti dos Dourados</t>
  </si>
  <si>
    <t>2024-05-15</t>
  </si>
  <si>
    <t>Pires de Cirino</t>
  </si>
  <si>
    <t>Gonçalves da Mata</t>
  </si>
  <si>
    <t>Barros de Casa Grande</t>
  </si>
  <si>
    <t>da Conceição de Goiás</t>
  </si>
  <si>
    <t>2024-05-16</t>
  </si>
  <si>
    <t>Pimenta de Goiás</t>
  </si>
  <si>
    <t>Moura da Mata</t>
  </si>
  <si>
    <t>2024-05-17</t>
  </si>
  <si>
    <t>Moraes dos Dourados</t>
  </si>
  <si>
    <t>2024-05-18</t>
  </si>
  <si>
    <t>Almeida de Novaes</t>
  </si>
  <si>
    <t>Marques do Amparo</t>
  </si>
  <si>
    <t>2024-05-19</t>
  </si>
  <si>
    <t>Mendes de Ferreira</t>
  </si>
  <si>
    <t>Pastor de Minas</t>
  </si>
  <si>
    <t>2024-05-20</t>
  </si>
  <si>
    <t>Cavalcanti do Campo</t>
  </si>
  <si>
    <t>2024-05-21</t>
  </si>
  <si>
    <t>Camargo de da Mata</t>
  </si>
  <si>
    <t>Vasconcelos do Amparo</t>
  </si>
  <si>
    <t>Nascimento dos Dourados</t>
  </si>
  <si>
    <t>Costela do Galho</t>
  </si>
  <si>
    <t>Moraes do Amparo</t>
  </si>
  <si>
    <t>Dias Paulista</t>
  </si>
  <si>
    <t>Barbosa de da Rosa</t>
  </si>
  <si>
    <t>Alves de Goiás</t>
  </si>
  <si>
    <t>2024-05-22</t>
  </si>
  <si>
    <t>Sousa Paulista</t>
  </si>
  <si>
    <t>Rezende de Rios</t>
  </si>
  <si>
    <t>Novaes da Praia</t>
  </si>
  <si>
    <t>Aparecida de Peixoto</t>
  </si>
  <si>
    <t>2024-05-23</t>
  </si>
  <si>
    <t>Novaes do Norte</t>
  </si>
  <si>
    <t>da Conceição Paulista</t>
  </si>
  <si>
    <t>2024-05-24</t>
  </si>
  <si>
    <t>Sampaio de Ferreira</t>
  </si>
  <si>
    <t>da Rocha do Galho</t>
  </si>
  <si>
    <t>Cardoso do Campo</t>
  </si>
  <si>
    <t>da Cunha de Peixoto</t>
  </si>
  <si>
    <t>Cavalcante do Sul</t>
  </si>
  <si>
    <t>2024-05-25</t>
  </si>
  <si>
    <t>Siqueira do Sul</t>
  </si>
  <si>
    <t>Moreira de Pires</t>
  </si>
  <si>
    <t>Farias do Galho</t>
  </si>
  <si>
    <t>2024-05-26</t>
  </si>
  <si>
    <t>2024-05-27</t>
  </si>
  <si>
    <t>Souza das Flores</t>
  </si>
  <si>
    <t>da Luz da Praia</t>
  </si>
  <si>
    <t>da Paz das Flores</t>
  </si>
  <si>
    <t>Camargo de Farias</t>
  </si>
  <si>
    <t>2024-05-28</t>
  </si>
  <si>
    <t>Ferreira Grande</t>
  </si>
  <si>
    <t>Pastor do Sul</t>
  </si>
  <si>
    <t>da Rosa de Minas</t>
  </si>
  <si>
    <t>Novais de Aparecida</t>
  </si>
  <si>
    <t>Freitas de Fernandes</t>
  </si>
  <si>
    <t>2024-05-29</t>
  </si>
  <si>
    <t>Cassiano do Sul</t>
  </si>
  <si>
    <t>Porto de da Rosa</t>
  </si>
  <si>
    <t>Melo Verde</t>
  </si>
  <si>
    <t>2024-05-30</t>
  </si>
  <si>
    <t>Mendes da Serra</t>
  </si>
  <si>
    <t>Fernandes Grande</t>
  </si>
  <si>
    <t>Casa Grande Paulista</t>
  </si>
  <si>
    <t>2024-05-31</t>
  </si>
  <si>
    <t>Nunes de Minas</t>
  </si>
  <si>
    <t>Gomes do Oeste</t>
  </si>
  <si>
    <t>Nascimento das Pedras</t>
  </si>
  <si>
    <t>2024-06-01</t>
  </si>
  <si>
    <t>Viana da Mata</t>
  </si>
  <si>
    <t>Rios Paulista</t>
  </si>
  <si>
    <t>2024-06-02</t>
  </si>
  <si>
    <t>Câmara de Minas</t>
  </si>
  <si>
    <t>Marques de da Cruz</t>
  </si>
  <si>
    <t>da Rosa da Praia</t>
  </si>
  <si>
    <t>2024-06-03</t>
  </si>
  <si>
    <t>Silva Grande</t>
  </si>
  <si>
    <t>Brito do Norte</t>
  </si>
  <si>
    <t>2024-06-04</t>
  </si>
  <si>
    <t>Barros de Carvalho</t>
  </si>
  <si>
    <t>Sá da Praia</t>
  </si>
  <si>
    <t>Alves dos Dourados</t>
  </si>
  <si>
    <t>Ribeiro do Campo</t>
  </si>
  <si>
    <t>2024-06-05</t>
  </si>
  <si>
    <t>da Mota do Campo</t>
  </si>
  <si>
    <t>Sousa de Pereira</t>
  </si>
  <si>
    <t>Cirino do Campo</t>
  </si>
  <si>
    <t>Jesus da Mata</t>
  </si>
  <si>
    <t>Porto de Minas</t>
  </si>
  <si>
    <t>da Rocha Verde</t>
  </si>
  <si>
    <t>Rezende de Freitas</t>
  </si>
  <si>
    <t>2024-06-06</t>
  </si>
  <si>
    <t>da Mata do Oeste</t>
  </si>
  <si>
    <t>Borges de Minas</t>
  </si>
  <si>
    <t>Dias da Praia</t>
  </si>
  <si>
    <t>Casa Grande dos Dourados</t>
  </si>
  <si>
    <t>Novaes do Campo</t>
  </si>
  <si>
    <t>2024-06-07</t>
  </si>
  <si>
    <t>da Rocha do Amparo</t>
  </si>
  <si>
    <t>Rodrigues de Montenegro</t>
  </si>
  <si>
    <t>2024-06-08</t>
  </si>
  <si>
    <t>Cardoso de Ribeiro</t>
  </si>
  <si>
    <t>2024-06-09</t>
  </si>
  <si>
    <t>Garcia de Jesus</t>
  </si>
  <si>
    <t>2024-06-10</t>
  </si>
  <si>
    <t>Rezende de Vasconcelos</t>
  </si>
  <si>
    <t>Novais de Vargas</t>
  </si>
  <si>
    <t>da Cruz das Pedras</t>
  </si>
  <si>
    <t>da Luz Paulista</t>
  </si>
  <si>
    <t>2024-06-11</t>
  </si>
  <si>
    <t>Mendonça do Galho</t>
  </si>
  <si>
    <t>Nunes de Pacheco</t>
  </si>
  <si>
    <t>Siqueira Grande</t>
  </si>
  <si>
    <t>2024-06-12</t>
  </si>
  <si>
    <t>Martins de Machado</t>
  </si>
  <si>
    <t>Oliveira das Flores</t>
  </si>
  <si>
    <t>Macedo do Norte</t>
  </si>
  <si>
    <t>Peixoto Grande</t>
  </si>
  <si>
    <t>Monteiro Grande</t>
  </si>
  <si>
    <t>2024-06-13</t>
  </si>
  <si>
    <t>Ferreira do Sul</t>
  </si>
  <si>
    <t>da Cunha da Mata</t>
  </si>
  <si>
    <t>2024-06-14</t>
  </si>
  <si>
    <t>Andrade Verde</t>
  </si>
  <si>
    <t>Macedo do Sul</t>
  </si>
  <si>
    <t>Correia do Sul</t>
  </si>
  <si>
    <t>2024-06-15</t>
  </si>
  <si>
    <t>Costela de Garcia</t>
  </si>
  <si>
    <t>Barros do Oeste</t>
  </si>
  <si>
    <t>Moraes Paulista</t>
  </si>
  <si>
    <t>Brito de Minas</t>
  </si>
  <si>
    <t>Aparecida de Sousa</t>
  </si>
  <si>
    <t>da Cruz da Serra</t>
  </si>
  <si>
    <t>2024-06-16</t>
  </si>
  <si>
    <t>Martins Alegre</t>
  </si>
  <si>
    <t>Siqueira de Silveira</t>
  </si>
  <si>
    <t>Brito de da Rocha</t>
  </si>
  <si>
    <t>2024-06-17</t>
  </si>
  <si>
    <t>Silva de Minas</t>
  </si>
  <si>
    <t>Barros da Mata</t>
  </si>
  <si>
    <t>Câmara da Serra</t>
  </si>
  <si>
    <t>Rocha dos Dourados</t>
  </si>
  <si>
    <t>Novais Paulista</t>
  </si>
  <si>
    <t>da Rosa da Prata</t>
  </si>
  <si>
    <t>Rios da Prata</t>
  </si>
  <si>
    <t>Abreu do Oeste</t>
  </si>
  <si>
    <t>Cardoso da Prata</t>
  </si>
  <si>
    <t>2024-06-18</t>
  </si>
  <si>
    <t>Marques do Campo</t>
  </si>
  <si>
    <t>Pires da Prata</t>
  </si>
  <si>
    <t>da Rocha Alegre</t>
  </si>
  <si>
    <t>Caldeira de Duarte</t>
  </si>
  <si>
    <t>Leão de Goiás</t>
  </si>
  <si>
    <t>Ribeiro de Goiás</t>
  </si>
  <si>
    <t>Fogaça de Barros</t>
  </si>
  <si>
    <t>Martins da Mata</t>
  </si>
  <si>
    <t>Guerra de Camargo</t>
  </si>
  <si>
    <t>Santos Paulista</t>
  </si>
  <si>
    <t>2024-06-19</t>
  </si>
  <si>
    <t>da Cruz do Galho</t>
  </si>
  <si>
    <t>2024-06-20</t>
  </si>
  <si>
    <t>Mendonça dos Dourados</t>
  </si>
  <si>
    <t>da Rosa de Vieira</t>
  </si>
  <si>
    <t>Casa Grande Grande</t>
  </si>
  <si>
    <t>Novais de Sá</t>
  </si>
  <si>
    <t>2024-06-21</t>
  </si>
  <si>
    <t>Novais dos Dourados</t>
  </si>
  <si>
    <t>Rodrigues de Borges</t>
  </si>
  <si>
    <t>Campos Alegre</t>
  </si>
  <si>
    <t>Rodrigues dos Dourados</t>
  </si>
  <si>
    <t>Monteiro de Ramos</t>
  </si>
  <si>
    <t>Brito de Barros</t>
  </si>
  <si>
    <t>Cardoso da Serra</t>
  </si>
  <si>
    <t>2024-06-22</t>
  </si>
  <si>
    <t>da Luz dos Dourados</t>
  </si>
  <si>
    <t>Carvalho do Galho</t>
  </si>
  <si>
    <t>da Conceição do Campo</t>
  </si>
  <si>
    <t>Nunes do Sul</t>
  </si>
  <si>
    <t>Lima de Sales</t>
  </si>
  <si>
    <t>2024-06-23</t>
  </si>
  <si>
    <t>Monteiro de Castro</t>
  </si>
  <si>
    <t>Casa Grande de Cavalcante</t>
  </si>
  <si>
    <t>Pacheco da Mata</t>
  </si>
  <si>
    <t>2024-06-24</t>
  </si>
  <si>
    <t>Monteiro de da Cruz</t>
  </si>
  <si>
    <t>Souza da Prata</t>
  </si>
  <si>
    <t>2024-06-25</t>
  </si>
  <si>
    <t>Melo do Amparo</t>
  </si>
  <si>
    <t>Moraes de Campos</t>
  </si>
  <si>
    <t>Pacheco de Goiás</t>
  </si>
  <si>
    <t>Gomes das Flores</t>
  </si>
  <si>
    <t>Novais de Sales</t>
  </si>
  <si>
    <t>Araújo do Sul</t>
  </si>
  <si>
    <t>Brito de Campos</t>
  </si>
  <si>
    <t>2024-06-26</t>
  </si>
  <si>
    <t>Cirino de Fonseca</t>
  </si>
  <si>
    <t>Sales do Campo</t>
  </si>
  <si>
    <t>Costela Verde</t>
  </si>
  <si>
    <t>da Cunha do Amparo</t>
  </si>
  <si>
    <t>Nogueira de Dias</t>
  </si>
  <si>
    <t>2024-06-27</t>
  </si>
  <si>
    <t>Garcia da Prata</t>
  </si>
  <si>
    <t>Porto da Prata</t>
  </si>
  <si>
    <t>Ribeiro de Peixoto</t>
  </si>
  <si>
    <t>da Paz dos Dourados</t>
  </si>
  <si>
    <t>2024-06-28</t>
  </si>
  <si>
    <t>Jesus Alegre</t>
  </si>
  <si>
    <t>da Rosa de Nunes</t>
  </si>
  <si>
    <t>Pinto do Sul</t>
  </si>
  <si>
    <t>2024-06-29</t>
  </si>
  <si>
    <t>da Paz do Amparo</t>
  </si>
  <si>
    <t>Pires Paulista</t>
  </si>
  <si>
    <t>2024-06-30</t>
  </si>
  <si>
    <t>Marques de da Rosa</t>
  </si>
  <si>
    <t>Melo das Flores</t>
  </si>
  <si>
    <t>Castro de Araújo</t>
  </si>
  <si>
    <t>Aparecida de Nogueira</t>
  </si>
  <si>
    <t>2024-07-01</t>
  </si>
  <si>
    <t>Fernandes de Viana</t>
  </si>
  <si>
    <t>Cardoso de da Conceição</t>
  </si>
  <si>
    <t>Nogueira da Praia</t>
  </si>
  <si>
    <t>Martins do Oeste</t>
  </si>
  <si>
    <t>Macedo das Flores</t>
  </si>
  <si>
    <t>Casa Grande do Galho</t>
  </si>
  <si>
    <t>Pinto de Castro</t>
  </si>
  <si>
    <t>2024-07-02</t>
  </si>
  <si>
    <t>Campos Verde</t>
  </si>
  <si>
    <t>da Cruz Grande</t>
  </si>
  <si>
    <t>Montenegro de Moura</t>
  </si>
  <si>
    <t>2024-07-03</t>
  </si>
  <si>
    <t>Pastor Grande</t>
  </si>
  <si>
    <t>Gomes de Fernandes</t>
  </si>
  <si>
    <t>Borges do Galho</t>
  </si>
  <si>
    <t>da Cruz dos Dourados</t>
  </si>
  <si>
    <t>2024-07-04</t>
  </si>
  <si>
    <t>Pires de Cunha</t>
  </si>
  <si>
    <t>Andrade de da Mata</t>
  </si>
  <si>
    <t>Costela de Minas</t>
  </si>
  <si>
    <t>Costa da Praia</t>
  </si>
  <si>
    <t>Gomes do Amparo</t>
  </si>
  <si>
    <t>2024-07-05</t>
  </si>
  <si>
    <t>Farias de Minas</t>
  </si>
  <si>
    <t>Casa Grande das Pedras</t>
  </si>
  <si>
    <t>da Costa de Minas</t>
  </si>
  <si>
    <t>Casa Grande do Sul</t>
  </si>
  <si>
    <t>da Luz Alegre</t>
  </si>
  <si>
    <t>Farias de Gonçalves</t>
  </si>
  <si>
    <t>Mendes Paulista</t>
  </si>
  <si>
    <t>2024-07-06</t>
  </si>
  <si>
    <t>Machado da Praia</t>
  </si>
  <si>
    <t>Castro da Serra</t>
  </si>
  <si>
    <t>Correia do Galho</t>
  </si>
  <si>
    <t>das Neves do Campo</t>
  </si>
  <si>
    <t>2024-07-07</t>
  </si>
  <si>
    <t>Jesus de Fernandes</t>
  </si>
  <si>
    <t>Araújo de Rios</t>
  </si>
  <si>
    <t>da Paz de Pacheco</t>
  </si>
  <si>
    <t>Melo de Fonseca</t>
  </si>
  <si>
    <t>Gonçalves da Praia</t>
  </si>
  <si>
    <t>Correia de Cunha</t>
  </si>
  <si>
    <t>2024-07-08</t>
  </si>
  <si>
    <t>Cirino da Prata</t>
  </si>
  <si>
    <t>Moura de Pires</t>
  </si>
  <si>
    <t>Guerra Verde</t>
  </si>
  <si>
    <t>Pinto do Galho</t>
  </si>
  <si>
    <t>Pacheco da Prata</t>
  </si>
  <si>
    <t>Cavalcante das Flores</t>
  </si>
  <si>
    <t>2024-07-09</t>
  </si>
  <si>
    <t>Porto de Viana</t>
  </si>
  <si>
    <t>Macedo de Leão</t>
  </si>
  <si>
    <t>Silveira da Praia</t>
  </si>
  <si>
    <t>Caldeira de Minas</t>
  </si>
  <si>
    <t>Andrade do Amparo</t>
  </si>
  <si>
    <t>2024-07-10</t>
  </si>
  <si>
    <t>Nascimento Verde</t>
  </si>
  <si>
    <t>Pinto do Campo</t>
  </si>
  <si>
    <t>Costela da Mata</t>
  </si>
  <si>
    <t>2024-07-11</t>
  </si>
  <si>
    <t>Fonseca dos Dourados</t>
  </si>
  <si>
    <t>Monteiro de Monteiro</t>
  </si>
  <si>
    <t>Araújo dos Dourados</t>
  </si>
  <si>
    <t>2024-07-12</t>
  </si>
  <si>
    <t>Campos do Oeste</t>
  </si>
  <si>
    <t>Cunha de da Conceição</t>
  </si>
  <si>
    <t>Peixoto das Flores</t>
  </si>
  <si>
    <t>2024-07-13</t>
  </si>
  <si>
    <t>Fogaça do Sul</t>
  </si>
  <si>
    <t>Santos dos Dourados</t>
  </si>
  <si>
    <t>Viana de Mendes</t>
  </si>
  <si>
    <t>Teixeira do Sul</t>
  </si>
  <si>
    <t>2024-07-14</t>
  </si>
  <si>
    <t>das Neves da Serra</t>
  </si>
  <si>
    <t>Gonçalves da Serra</t>
  </si>
  <si>
    <t>Nogueira das Pedras</t>
  </si>
  <si>
    <t>Porto de Santos</t>
  </si>
  <si>
    <t>Nunes do Oeste</t>
  </si>
  <si>
    <t>2024-07-15</t>
  </si>
  <si>
    <t>Ramos do Norte</t>
  </si>
  <si>
    <t>Lima de Peixoto</t>
  </si>
  <si>
    <t>Garcia Alegre</t>
  </si>
  <si>
    <t>Nascimento de Ramos</t>
  </si>
  <si>
    <t>Ribeiro Grande</t>
  </si>
  <si>
    <t>Pinto de Machado</t>
  </si>
  <si>
    <t>Monteiro Verde</t>
  </si>
  <si>
    <t>Sampaio da Mata</t>
  </si>
  <si>
    <t>Pacheco de Fernandes</t>
  </si>
  <si>
    <t>Fernandes de Cirino</t>
  </si>
  <si>
    <t>2024-07-16</t>
  </si>
  <si>
    <t>Silveira da Prata</t>
  </si>
  <si>
    <t>Lopes de Aragão</t>
  </si>
  <si>
    <t>Novaes de Goiás</t>
  </si>
  <si>
    <t>da Costa da Serra</t>
  </si>
  <si>
    <t>Rodrigues Grande</t>
  </si>
  <si>
    <t>Gomes de Albuquerque</t>
  </si>
  <si>
    <t>2024-07-17</t>
  </si>
  <si>
    <t>Vieira da Serra</t>
  </si>
  <si>
    <t>Brito da Serra</t>
  </si>
  <si>
    <t>Borges de Novais</t>
  </si>
  <si>
    <t>Nogueira de Albuquerque</t>
  </si>
  <si>
    <t>Aparecida Alegre</t>
  </si>
  <si>
    <t>2024-07-18</t>
  </si>
  <si>
    <t>da Costa Alegre</t>
  </si>
  <si>
    <t>Pires de Pacheco</t>
  </si>
  <si>
    <t>Correia de da Mota</t>
  </si>
  <si>
    <t>2024-07-19</t>
  </si>
  <si>
    <t>Moura Verde</t>
  </si>
  <si>
    <t>Moura das Flores</t>
  </si>
  <si>
    <t>Pimenta Alegre</t>
  </si>
  <si>
    <t>Sousa da Prata</t>
  </si>
  <si>
    <t>Abreu de da Mata</t>
  </si>
  <si>
    <t>Ribeiro Paulista</t>
  </si>
  <si>
    <t>Cavalcante do Amparo</t>
  </si>
  <si>
    <t>Teixeira de Novais</t>
  </si>
  <si>
    <t>2024-07-20</t>
  </si>
  <si>
    <t>Sousa de Siqueira</t>
  </si>
  <si>
    <t>Gonçalves das Flores</t>
  </si>
  <si>
    <t>Aparecida do Norte</t>
  </si>
  <si>
    <t>Sales de Fonseca</t>
  </si>
  <si>
    <t>2024-07-21</t>
  </si>
  <si>
    <t>Azevedo Verde</t>
  </si>
  <si>
    <t>Nascimento de Nascimento</t>
  </si>
  <si>
    <t>Farias da Mata</t>
  </si>
  <si>
    <t>Macedo de Porto</t>
  </si>
  <si>
    <t>Albuquerque de Minas</t>
  </si>
  <si>
    <t>Viana de Goiás</t>
  </si>
  <si>
    <t>Farias do Campo</t>
  </si>
  <si>
    <t>2024-07-22</t>
  </si>
  <si>
    <t>Machado Verde</t>
  </si>
  <si>
    <t>Lima da Praia</t>
  </si>
  <si>
    <t>da Conceição de Novais</t>
  </si>
  <si>
    <t>Vieira de Novaes</t>
  </si>
  <si>
    <t>Machado de Andrade</t>
  </si>
  <si>
    <t>2024-07-23</t>
  </si>
  <si>
    <t>Leão do Sul</t>
  </si>
  <si>
    <t>Vieira Alegre</t>
  </si>
  <si>
    <t>Cunha da Praia</t>
  </si>
  <si>
    <t>Oliveira de Farias</t>
  </si>
  <si>
    <t>Pereira do Oeste</t>
  </si>
  <si>
    <t>2024-07-24</t>
  </si>
  <si>
    <t>Silveira do Norte</t>
  </si>
  <si>
    <t>Silva da Praia</t>
  </si>
  <si>
    <t>Rocha de Nascimento</t>
  </si>
  <si>
    <t>da Cunha Grande</t>
  </si>
  <si>
    <t>Abreu de Goiás</t>
  </si>
  <si>
    <t>Ferreira Verde</t>
  </si>
  <si>
    <t>da Rosa de Aparecida</t>
  </si>
  <si>
    <t>2024-07-25</t>
  </si>
  <si>
    <t>Sampaio do Oeste</t>
  </si>
  <si>
    <t>da Luz das Pedras</t>
  </si>
  <si>
    <t>Silveira Paulista</t>
  </si>
  <si>
    <t>2024-07-26</t>
  </si>
  <si>
    <t>Alves das Flores</t>
  </si>
  <si>
    <t>Camargo da Serra</t>
  </si>
  <si>
    <t>Teixeira de Minas</t>
  </si>
  <si>
    <t>2024-07-27</t>
  </si>
  <si>
    <t>Gonçalves do Sul</t>
  </si>
  <si>
    <t>Pimenta da Praia</t>
  </si>
  <si>
    <t>Rezende das Pedras</t>
  </si>
  <si>
    <t>Siqueira do Campo</t>
  </si>
  <si>
    <t>Costela das Flores</t>
  </si>
  <si>
    <t>Sales de Sales</t>
  </si>
  <si>
    <t>2024-07-28</t>
  </si>
  <si>
    <t>Nascimento do Norte</t>
  </si>
  <si>
    <t>Barros de Silveira</t>
  </si>
  <si>
    <t>2024-07-29</t>
  </si>
  <si>
    <t>Fonseca das Flores</t>
  </si>
  <si>
    <t>Nogueira do Oeste</t>
  </si>
  <si>
    <t>Rodrigues de Campos</t>
  </si>
  <si>
    <t>da Paz de Mendes</t>
  </si>
  <si>
    <t>Souza das Pedras</t>
  </si>
  <si>
    <t>Alves de Jesus</t>
  </si>
  <si>
    <t>Novais de Machado</t>
  </si>
  <si>
    <t>Vasconcelos de Caldeira</t>
  </si>
  <si>
    <t>2024-07-30</t>
  </si>
  <si>
    <t>Pastor da Prata</t>
  </si>
  <si>
    <t>Carvalho de Souza</t>
  </si>
  <si>
    <t>Martins de Duarte</t>
  </si>
  <si>
    <t>Viana Paulista</t>
  </si>
  <si>
    <t>Martins de Teixeira</t>
  </si>
  <si>
    <t>da Cunha das Flores</t>
  </si>
  <si>
    <t>2024-07-31</t>
  </si>
  <si>
    <t>Almeida do Galho</t>
  </si>
  <si>
    <t>Viana de Siqueira</t>
  </si>
  <si>
    <t>Farias da Praia</t>
  </si>
  <si>
    <t>Pacheco Paulista</t>
  </si>
  <si>
    <t>Vieira do Amparo</t>
  </si>
  <si>
    <t>2024-08-01</t>
  </si>
  <si>
    <t>Leão de Cavalcante</t>
  </si>
  <si>
    <t>Vargas do Norte</t>
  </si>
  <si>
    <t>Mendonça da Prata</t>
  </si>
  <si>
    <t>da Rosa de Abreu</t>
  </si>
  <si>
    <t>Ferreira dos Dourados</t>
  </si>
  <si>
    <t>Macedo Alegre</t>
  </si>
  <si>
    <t>2024-08-02</t>
  </si>
  <si>
    <t>Nogueira de Castro</t>
  </si>
  <si>
    <t>Sousa de das Neves</t>
  </si>
  <si>
    <t>Fonseca Verde</t>
  </si>
  <si>
    <t>Guerra da Mata</t>
  </si>
  <si>
    <t>Nascimento do Campo</t>
  </si>
  <si>
    <t>Porto do Galho</t>
  </si>
  <si>
    <t>2024-08-03</t>
  </si>
  <si>
    <t>Castro do Oeste</t>
  </si>
  <si>
    <t>Melo de da Cunha</t>
  </si>
  <si>
    <t>Moraes de Lopes</t>
  </si>
  <si>
    <t>2024-08-04</t>
  </si>
  <si>
    <t>Aragão Paulista</t>
  </si>
  <si>
    <t>Rocha da Serra</t>
  </si>
  <si>
    <t>Pinto de Peixoto</t>
  </si>
  <si>
    <t>Vieira do Oeste</t>
  </si>
  <si>
    <t>2024-08-05</t>
  </si>
  <si>
    <t>Câmara dos Dourados</t>
  </si>
  <si>
    <t>Pereira de Vasconcelos</t>
  </si>
  <si>
    <t>Camargo da Mata</t>
  </si>
  <si>
    <t>Cirino Verde</t>
  </si>
  <si>
    <t>Fernandes das Flores</t>
  </si>
  <si>
    <t>Campos de Goiás</t>
  </si>
  <si>
    <t>Cardoso da Praia</t>
  </si>
  <si>
    <t>2024-08-06</t>
  </si>
  <si>
    <t>Azevedo de Cirino</t>
  </si>
  <si>
    <t>Pacheco de Moreira</t>
  </si>
  <si>
    <t>Rodrigues das Flores</t>
  </si>
  <si>
    <t>Pastor da Praia</t>
  </si>
  <si>
    <t>da Costa do Galho</t>
  </si>
  <si>
    <t>Castro do Galho</t>
  </si>
  <si>
    <t>da Cruz de Goiás</t>
  </si>
  <si>
    <t>2024-08-07</t>
  </si>
  <si>
    <t>Sá de Mendes</t>
  </si>
  <si>
    <t>Novais do Norte</t>
  </si>
  <si>
    <t>Barros das Pedras</t>
  </si>
  <si>
    <t>2024-08-08</t>
  </si>
  <si>
    <t>Pacheco Verde</t>
  </si>
  <si>
    <t>Abreu de Barros</t>
  </si>
  <si>
    <t>Guerra das Pedras</t>
  </si>
  <si>
    <t>2024-08-09</t>
  </si>
  <si>
    <t>Nascimento da Praia</t>
  </si>
  <si>
    <t>Aragão Alegre</t>
  </si>
  <si>
    <t>Lopes do Oeste</t>
  </si>
  <si>
    <t>Machado da Serra</t>
  </si>
  <si>
    <t>da Luz Grande</t>
  </si>
  <si>
    <t>Borges da Serra</t>
  </si>
  <si>
    <t>da Paz do Norte</t>
  </si>
  <si>
    <t>Sá Verde</t>
  </si>
  <si>
    <t>2024-08-10</t>
  </si>
  <si>
    <t>Nogueira Verde</t>
  </si>
  <si>
    <t>Rocha de Campos</t>
  </si>
  <si>
    <t>Freitas Alegre</t>
  </si>
  <si>
    <t>Gomes de Souza</t>
  </si>
  <si>
    <t>Rodrigues de Souza</t>
  </si>
  <si>
    <t>Sousa de Silva</t>
  </si>
  <si>
    <t>Barros do Norte</t>
  </si>
  <si>
    <t>2024-08-11</t>
  </si>
  <si>
    <t>Freitas de Araújo</t>
  </si>
  <si>
    <t>Pastor de Almeida</t>
  </si>
  <si>
    <t>Casa Grande de Porto</t>
  </si>
  <si>
    <t>da Rosa do Norte</t>
  </si>
  <si>
    <t>Martins de Novaes</t>
  </si>
  <si>
    <t>Azevedo dos Dourados</t>
  </si>
  <si>
    <t>2024-08-12</t>
  </si>
  <si>
    <t>Nogueira Grande</t>
  </si>
  <si>
    <t>Lopes do Norte</t>
  </si>
  <si>
    <t>Almeida das Flores</t>
  </si>
  <si>
    <t>2024-08-13</t>
  </si>
  <si>
    <t>Barbosa Verde</t>
  </si>
  <si>
    <t>Albuquerque da Prata</t>
  </si>
  <si>
    <t>Mendonça de Minas</t>
  </si>
  <si>
    <t>Freitas da Mata</t>
  </si>
  <si>
    <t>da Conceição do Norte</t>
  </si>
  <si>
    <t>Cassiano de Cavalcante</t>
  </si>
  <si>
    <t>2024-08-14</t>
  </si>
  <si>
    <t>Aragão de Jesus</t>
  </si>
  <si>
    <t>Nunes Verde</t>
  </si>
  <si>
    <t>Borges das Pedras</t>
  </si>
  <si>
    <t>da Mota dos Dourados</t>
  </si>
  <si>
    <t>Sales do Amparo</t>
  </si>
  <si>
    <t>2024-08-15</t>
  </si>
  <si>
    <t>Pacheco de Dias</t>
  </si>
  <si>
    <t>da Cunha de Pinto</t>
  </si>
  <si>
    <t>da Rocha de Barbosa</t>
  </si>
  <si>
    <t>Barros do Campo</t>
  </si>
  <si>
    <t>Brito de Monteiro</t>
  </si>
  <si>
    <t>Campos da Mata</t>
  </si>
  <si>
    <t>Gonçalves dos Dourados</t>
  </si>
  <si>
    <t>Caldeira Verde</t>
  </si>
  <si>
    <t>2024-08-16</t>
  </si>
  <si>
    <t>Vieira de Minas</t>
  </si>
  <si>
    <t>Sá das Flores</t>
  </si>
  <si>
    <t>da Mata do Norte</t>
  </si>
  <si>
    <t>Siqueira Paulista</t>
  </si>
  <si>
    <t>da Costa de Moreira</t>
  </si>
  <si>
    <t>Gomes do Campo</t>
  </si>
  <si>
    <t>Cassiano de Nogueira</t>
  </si>
  <si>
    <t>Santos do Galho</t>
  </si>
  <si>
    <t>Duarte da Mata</t>
  </si>
  <si>
    <t>Cirino de Andrade</t>
  </si>
  <si>
    <t>2024-08-17</t>
  </si>
  <si>
    <t>Gomes da Praia</t>
  </si>
  <si>
    <t>Silva de Cassiano</t>
  </si>
  <si>
    <t>Cavalcanti do Galho</t>
  </si>
  <si>
    <t>Siqueira de Goiás</t>
  </si>
  <si>
    <t>Jesus de Teixeira</t>
  </si>
  <si>
    <t>Barbosa de Pereira</t>
  </si>
  <si>
    <t>2024-08-18</t>
  </si>
  <si>
    <t>Cunha de Machado</t>
  </si>
  <si>
    <t>Borges Alegre</t>
  </si>
  <si>
    <t>Pacheco de Aragão</t>
  </si>
  <si>
    <t>Ribeiro de Câmara</t>
  </si>
  <si>
    <t>Albuquerque da Serra</t>
  </si>
  <si>
    <t>Ramos de Montenegro</t>
  </si>
  <si>
    <t>Martins do Norte</t>
  </si>
  <si>
    <t>Leão de Minas</t>
  </si>
  <si>
    <t>Carvalho dos Dourados</t>
  </si>
  <si>
    <t>2024-08-19</t>
  </si>
  <si>
    <t>Viana de Pimenta</t>
  </si>
  <si>
    <t>da Cruz de Silva</t>
  </si>
  <si>
    <t>2024-08-20</t>
  </si>
  <si>
    <t>Porto de Goiás</t>
  </si>
  <si>
    <t>Farias Verde</t>
  </si>
  <si>
    <t>Azevedo de Correia</t>
  </si>
  <si>
    <t>2024-08-21</t>
  </si>
  <si>
    <t>Siqueira de Leão</t>
  </si>
  <si>
    <t>Castro de Moreira</t>
  </si>
  <si>
    <t>2024-08-22</t>
  </si>
  <si>
    <t>Macedo Verde</t>
  </si>
  <si>
    <t>Fernandes Verde</t>
  </si>
  <si>
    <t>Barbosa do Sul</t>
  </si>
  <si>
    <t>Pereira da Mata</t>
  </si>
  <si>
    <t>Costa de Ramos</t>
  </si>
  <si>
    <t>Ferreira de Minas</t>
  </si>
  <si>
    <t>2024-08-23</t>
  </si>
  <si>
    <t>Ferreira das Flores</t>
  </si>
  <si>
    <t>Silveira do Galho</t>
  </si>
  <si>
    <t>Peixoto do Amparo</t>
  </si>
  <si>
    <t>da Mata do Campo</t>
  </si>
  <si>
    <t>Sá de Peixoto</t>
  </si>
  <si>
    <t>2024-08-24</t>
  </si>
  <si>
    <t>Rocha de Monteiro</t>
  </si>
  <si>
    <t>Almeida da Prata</t>
  </si>
  <si>
    <t>Vargas Alegre</t>
  </si>
  <si>
    <t>2024-08-25</t>
  </si>
  <si>
    <t>Lopes de Monteiro</t>
  </si>
  <si>
    <t>Rezende de Souza</t>
  </si>
  <si>
    <t>2024-08-26</t>
  </si>
  <si>
    <t>Cavalcanti do Sul</t>
  </si>
  <si>
    <t>da Cunha de Pacheco</t>
  </si>
  <si>
    <t>Ferreira do Galho</t>
  </si>
  <si>
    <t>Fernandes de Nunes</t>
  </si>
  <si>
    <t>Pimenta da Mata</t>
  </si>
  <si>
    <t>2024-08-27</t>
  </si>
  <si>
    <t>Caldeira do Oeste</t>
  </si>
  <si>
    <t>Fogaça das Pedras</t>
  </si>
  <si>
    <t>Marques de Fernandes</t>
  </si>
  <si>
    <t>2024-08-28</t>
  </si>
  <si>
    <t>Andrade de da Rocha</t>
  </si>
  <si>
    <t>Fogaça de Minas</t>
  </si>
  <si>
    <t>Vasconcelos de Minas</t>
  </si>
  <si>
    <t>da Mota de Nascimento</t>
  </si>
  <si>
    <t>Moreira dos Dourados</t>
  </si>
  <si>
    <t>2024-08-29</t>
  </si>
  <si>
    <t>da Cruz de da Cunha</t>
  </si>
  <si>
    <t>Rezende de Peixoto</t>
  </si>
  <si>
    <t>Ferreira de Fernandes</t>
  </si>
  <si>
    <t>Andrade de Minas</t>
  </si>
  <si>
    <t>Rodrigues de Pereira</t>
  </si>
  <si>
    <t>Fogaça Alegre</t>
  </si>
  <si>
    <t>Novais de Goiás</t>
  </si>
  <si>
    <t>2024-08-30</t>
  </si>
  <si>
    <t>Fogaça do Amparo</t>
  </si>
  <si>
    <t>Rios de Teixeira</t>
  </si>
  <si>
    <t>Pinto de Macedo</t>
  </si>
  <si>
    <t>Porto dos Dourados</t>
  </si>
  <si>
    <t>Cavalcanti de Machado</t>
  </si>
  <si>
    <t>Casa Grande da Mata</t>
  </si>
  <si>
    <t>Ferreira de Camargo</t>
  </si>
  <si>
    <t>Ribeiro Verde</t>
  </si>
  <si>
    <t>2024-08-31</t>
  </si>
  <si>
    <t>Marques de Monteiro</t>
  </si>
  <si>
    <t>Teixeira de da Rocha</t>
  </si>
  <si>
    <t>Guerra da Prata</t>
  </si>
  <si>
    <t>Câmara do Norte</t>
  </si>
  <si>
    <t>Vasconcelos da Praia</t>
  </si>
  <si>
    <t>Barbosa do Campo</t>
  </si>
  <si>
    <t>Ribeiro de Mendonça</t>
  </si>
  <si>
    <t>2024-09-01</t>
  </si>
  <si>
    <t>Câmara Alegre</t>
  </si>
  <si>
    <t>Souza de Farias</t>
  </si>
  <si>
    <t>Mendonça do Amparo</t>
  </si>
  <si>
    <t>Pires Grande</t>
  </si>
  <si>
    <t>Cassiano de Gomes</t>
  </si>
  <si>
    <t>Novais do Sul</t>
  </si>
  <si>
    <t>Rezende de Andrade</t>
  </si>
  <si>
    <t>Novais de Sampaio</t>
  </si>
  <si>
    <t>da Mota do Galho</t>
  </si>
  <si>
    <t>2024-09-02</t>
  </si>
  <si>
    <t>Moreira do Sul</t>
  </si>
  <si>
    <t>Marques de Novaes</t>
  </si>
  <si>
    <t>Mendes das Flores</t>
  </si>
  <si>
    <t>2024-09-03</t>
  </si>
  <si>
    <t>Camargo de Pastor</t>
  </si>
  <si>
    <t>Melo de Sousa</t>
  </si>
  <si>
    <t>Duarte de Siqueira</t>
  </si>
  <si>
    <t>Cavalcanti de Peixoto</t>
  </si>
  <si>
    <t>Garcia de Nascimento</t>
  </si>
  <si>
    <t>Cardoso dos Dourados</t>
  </si>
  <si>
    <t>Gomes dos Dourados</t>
  </si>
  <si>
    <t>2024-09-04</t>
  </si>
  <si>
    <t>Gonçalves do Oeste</t>
  </si>
  <si>
    <t>Freitas de Rocha</t>
  </si>
  <si>
    <t>da Costa das Flores</t>
  </si>
  <si>
    <t>Vargas da Mata</t>
  </si>
  <si>
    <t>Albuquerque de Câmara</t>
  </si>
  <si>
    <t>Sampaio do Campo</t>
  </si>
  <si>
    <t>Nascimento do Galho</t>
  </si>
  <si>
    <t>Câmara Paulista</t>
  </si>
  <si>
    <t>Novaes Grande</t>
  </si>
  <si>
    <t>Oliveira Verde</t>
  </si>
  <si>
    <t>Brito da Praia</t>
  </si>
  <si>
    <t>2024-09-05</t>
  </si>
  <si>
    <t>Aragão de Fonseca</t>
  </si>
  <si>
    <t>Marques da Prata</t>
  </si>
  <si>
    <t>Ramos do Oeste</t>
  </si>
  <si>
    <t>Borges do Norte</t>
  </si>
  <si>
    <t>Machado de da Conceição</t>
  </si>
  <si>
    <t>Vieira de Sousa</t>
  </si>
  <si>
    <t>Cirino de da Conceição</t>
  </si>
  <si>
    <t>2024-09-06</t>
  </si>
  <si>
    <t>Cardoso da Mata</t>
  </si>
  <si>
    <t>Casa Grande do Oeste</t>
  </si>
  <si>
    <t>Casa Grande de Camargo</t>
  </si>
  <si>
    <t>Santos Grande</t>
  </si>
  <si>
    <t>Vargas das Pedras</t>
  </si>
  <si>
    <t>Farias de Casa Grande</t>
  </si>
  <si>
    <t>Caldeira da Prata</t>
  </si>
  <si>
    <t>Gomes Grande</t>
  </si>
  <si>
    <t>2024-09-07</t>
  </si>
  <si>
    <t>Pimenta Verde</t>
  </si>
  <si>
    <t>da Cruz de Pacheco</t>
  </si>
  <si>
    <t>da Mata da Prata</t>
  </si>
  <si>
    <t>Rios da Serra</t>
  </si>
  <si>
    <t>2024-09-08</t>
  </si>
  <si>
    <t>Pereira de Pires</t>
  </si>
  <si>
    <t>da Conceição da Prata</t>
  </si>
  <si>
    <t>Costa do Oeste</t>
  </si>
  <si>
    <t>Vieira dos Dourados</t>
  </si>
  <si>
    <t>2024-09-09</t>
  </si>
  <si>
    <t>Abreu da Praia</t>
  </si>
  <si>
    <t>Cassiano de Barbosa</t>
  </si>
  <si>
    <t>Aparecida do Sul</t>
  </si>
  <si>
    <t>Sales da Praia</t>
  </si>
  <si>
    <t>da Costa Grande</t>
  </si>
  <si>
    <t>Albuquerque das Flores</t>
  </si>
  <si>
    <t>Barbosa Alegre</t>
  </si>
  <si>
    <t>Novais da Praia</t>
  </si>
  <si>
    <t>2024-09-10</t>
  </si>
  <si>
    <t>Freitas de Minas</t>
  </si>
  <si>
    <t>Correia do Norte</t>
  </si>
  <si>
    <t>2024-09-11</t>
  </si>
  <si>
    <t>Ribeiro de Pimenta</t>
  </si>
  <si>
    <t>Vargas da Prata</t>
  </si>
  <si>
    <t>Guerra de Pacheco</t>
  </si>
  <si>
    <t>Rodrigues Verde</t>
  </si>
  <si>
    <t>Camargo de Azevedo</t>
  </si>
  <si>
    <t>2024-09-12</t>
  </si>
  <si>
    <t>Machado Grande</t>
  </si>
  <si>
    <t>Marques de Andrade</t>
  </si>
  <si>
    <t>Teixeira dos Dourados</t>
  </si>
  <si>
    <t>Castro de Abreu</t>
  </si>
  <si>
    <t>Rocha do Norte</t>
  </si>
  <si>
    <t>Andrade do Norte</t>
  </si>
  <si>
    <t>Ramos de Teixeira</t>
  </si>
  <si>
    <t>Castro da Prata</t>
  </si>
  <si>
    <t>Campos de Melo</t>
  </si>
  <si>
    <t>2024-09-13</t>
  </si>
  <si>
    <t>Carvalho de Montenegro</t>
  </si>
  <si>
    <t>das Neves Verde</t>
  </si>
  <si>
    <t>Novais de Casa Grande</t>
  </si>
  <si>
    <t>Macedo do Oeste</t>
  </si>
  <si>
    <t>Ferreira de da Rosa</t>
  </si>
  <si>
    <t>da Conceição de Barros</t>
  </si>
  <si>
    <t>2024-09-14</t>
  </si>
  <si>
    <t>Souza de Barros</t>
  </si>
  <si>
    <t>Siqueira Verde</t>
  </si>
  <si>
    <t>Rocha de Brito</t>
  </si>
  <si>
    <t>Montenegro da Prata</t>
  </si>
  <si>
    <t>Rios de Barros</t>
  </si>
  <si>
    <t>Rezende da Praia</t>
  </si>
  <si>
    <t>Rezende de Minas</t>
  </si>
  <si>
    <t>2024-09-15</t>
  </si>
  <si>
    <t>Oliveira de Moreira</t>
  </si>
  <si>
    <t>Cavalcante Verde</t>
  </si>
  <si>
    <t>Vasconcelos do Campo</t>
  </si>
  <si>
    <t>Oliveira dos Dourados</t>
  </si>
  <si>
    <t>Caldeira do Amparo</t>
  </si>
  <si>
    <t>Macedo Grande</t>
  </si>
  <si>
    <t>Sá de Nunes</t>
  </si>
  <si>
    <t>2024-09-16</t>
  </si>
  <si>
    <t>Dias da Prata</t>
  </si>
  <si>
    <t>Albuquerque de Novais</t>
  </si>
  <si>
    <t>Silva Alegre</t>
  </si>
  <si>
    <t>Porto das Pedras</t>
  </si>
  <si>
    <t>2024-09-17</t>
  </si>
  <si>
    <t>Vasconcelos de Goiás</t>
  </si>
  <si>
    <t>Mendonça do Campo</t>
  </si>
  <si>
    <t>Moraes de Jesus</t>
  </si>
  <si>
    <t>da Cunha do Galho</t>
  </si>
  <si>
    <t>Rios de Cardoso</t>
  </si>
  <si>
    <t>Garcia de da Rocha</t>
  </si>
  <si>
    <t>Mendonça das Pedras</t>
  </si>
  <si>
    <t>das Neves de Cavalcante</t>
  </si>
  <si>
    <t>2024-09-18</t>
  </si>
  <si>
    <t>Fonseca da Prata</t>
  </si>
  <si>
    <t>Moura de Goiás</t>
  </si>
  <si>
    <t>da Conceição dos Dourados</t>
  </si>
  <si>
    <t>Pereira de Santos</t>
  </si>
  <si>
    <t>Sá Paulista</t>
  </si>
  <si>
    <t>Abreu de Aragão</t>
  </si>
  <si>
    <t>Carvalho Alegre</t>
  </si>
  <si>
    <t>Teixeira Alegre</t>
  </si>
  <si>
    <t>Souza dos Dourados</t>
  </si>
  <si>
    <t>Sampaio de Teixeira</t>
  </si>
  <si>
    <t>Fogaça de Casa Grande</t>
  </si>
  <si>
    <t>Borges de Ribeiro</t>
  </si>
  <si>
    <t>2024-09-19</t>
  </si>
  <si>
    <t>Barros da Serra</t>
  </si>
  <si>
    <t>Vasconcelos de Fonseca</t>
  </si>
  <si>
    <t>Vieira da Praia</t>
  </si>
  <si>
    <t>Nogueira de Cirino</t>
  </si>
  <si>
    <t>Silveira de Pastor</t>
  </si>
  <si>
    <t>Santos de da Cunha</t>
  </si>
  <si>
    <t>Carvalho do Sul</t>
  </si>
  <si>
    <t>Mendes da Prata</t>
  </si>
  <si>
    <t>Macedo de Minas</t>
  </si>
  <si>
    <t>Garcia de Casa Grande</t>
  </si>
  <si>
    <t>Rios Grande</t>
  </si>
  <si>
    <t>Cavalcanti de da Cunha</t>
  </si>
  <si>
    <t>2024-09-20</t>
  </si>
  <si>
    <t>Aragão do Campo</t>
  </si>
  <si>
    <t>Aparecida de Abreu</t>
  </si>
  <si>
    <t>Costa de da Mata</t>
  </si>
  <si>
    <t>Duarte de Cassiano</t>
  </si>
  <si>
    <t>Freitas da Serra</t>
  </si>
  <si>
    <t>Vieira de Vieira</t>
  </si>
  <si>
    <t>2024-09-21</t>
  </si>
  <si>
    <t>Fonseca de Goiás</t>
  </si>
  <si>
    <t>Cirino das Pedras</t>
  </si>
  <si>
    <t>da Conceição de Ribeiro</t>
  </si>
  <si>
    <t>Monteiro do Sul</t>
  </si>
  <si>
    <t>Machado de Santos</t>
  </si>
  <si>
    <t>Marques dos Dourados</t>
  </si>
  <si>
    <t>Freitas do Norte</t>
  </si>
  <si>
    <t>2024-09-22</t>
  </si>
  <si>
    <t>Jesus de Cavalcante</t>
  </si>
  <si>
    <t>Ribeiro de Barbosa</t>
  </si>
  <si>
    <t>Aragão da Mata</t>
  </si>
  <si>
    <t>da Rosa da Mata</t>
  </si>
  <si>
    <t>Teixeira de Moreira</t>
  </si>
  <si>
    <t>Rios de da Cruz</t>
  </si>
  <si>
    <t>Guerra Paulista</t>
  </si>
  <si>
    <t>Teixeira Paulista</t>
  </si>
  <si>
    <t>Cavalcanti do Oeste</t>
  </si>
  <si>
    <t>2024-09-23</t>
  </si>
  <si>
    <t>da Cunha do Oeste</t>
  </si>
  <si>
    <t>Costa de Barros</t>
  </si>
  <si>
    <t>Barbosa do Amparo</t>
  </si>
  <si>
    <t>Fernandes do Oeste</t>
  </si>
  <si>
    <t>Alves de Gonçalves</t>
  </si>
  <si>
    <t>Macedo Paulista</t>
  </si>
  <si>
    <t>Melo de Dias</t>
  </si>
  <si>
    <t>Nogueira de das Neves</t>
  </si>
  <si>
    <t>2024-09-24</t>
  </si>
  <si>
    <t>Cirino de Pimenta</t>
  </si>
  <si>
    <t>Araújo do Campo</t>
  </si>
  <si>
    <t>Rezende do Norte</t>
  </si>
  <si>
    <t>2024-09-25</t>
  </si>
  <si>
    <t>Abreu do Amparo</t>
  </si>
  <si>
    <t>Castro Grande</t>
  </si>
  <si>
    <t>Leão de Novais</t>
  </si>
  <si>
    <t>Sales de Carvalho</t>
  </si>
  <si>
    <t>da Rosa de Brito</t>
  </si>
  <si>
    <t>Lima Verde</t>
  </si>
  <si>
    <t>Souza de Costela</t>
  </si>
  <si>
    <t>Nascimento de Pimenta</t>
  </si>
  <si>
    <t>Andrade do Galho</t>
  </si>
  <si>
    <t>2024-09-26</t>
  </si>
  <si>
    <t>Cunha Grande</t>
  </si>
  <si>
    <t>Moura de Martins</t>
  </si>
  <si>
    <t>da Mota da Mata</t>
  </si>
  <si>
    <t>Pastor de Goiás</t>
  </si>
  <si>
    <t>da Mota do Oeste</t>
  </si>
  <si>
    <t>Oliveira do Amparo</t>
  </si>
  <si>
    <t>Ramos Grande</t>
  </si>
  <si>
    <t>2024-09-27</t>
  </si>
  <si>
    <t>Porto do Norte</t>
  </si>
  <si>
    <t>Gomes de Jesus</t>
  </si>
  <si>
    <t>Lopes dos Dourados</t>
  </si>
  <si>
    <t>da Rosa de da Mata</t>
  </si>
  <si>
    <t>Mendes de Vieira</t>
  </si>
  <si>
    <t>2024-09-28</t>
  </si>
  <si>
    <t>Oliveira Alegre</t>
  </si>
  <si>
    <t>da Paz das Pedras</t>
  </si>
  <si>
    <t>Nascimento do Oeste</t>
  </si>
  <si>
    <t>Vargas dos Dourados</t>
  </si>
  <si>
    <t>Pastor de Nascimento</t>
  </si>
  <si>
    <t>Aparecida Grande</t>
  </si>
  <si>
    <t>Machado Paulista</t>
  </si>
  <si>
    <t>Cardoso de Goiás</t>
  </si>
  <si>
    <t>Casa Grande de da Luz</t>
  </si>
  <si>
    <t>2024-09-29</t>
  </si>
  <si>
    <t>Silveira de Porto</t>
  </si>
  <si>
    <t>Teixeira de Borges</t>
  </si>
  <si>
    <t>Vargas de Minas</t>
  </si>
  <si>
    <t>Oliveira do Campo</t>
  </si>
  <si>
    <t>Gonçalves de das Neves</t>
  </si>
  <si>
    <t>Câmara Grande</t>
  </si>
  <si>
    <t>2024-09-30</t>
  </si>
  <si>
    <t>Dias de Sales</t>
  </si>
  <si>
    <t>Macedo de Cassiano</t>
  </si>
  <si>
    <t>Nogueira de Melo</t>
  </si>
  <si>
    <t>Machado de Lima</t>
  </si>
  <si>
    <t>Novais de Nascimento</t>
  </si>
  <si>
    <t>Cunha de Siqueira</t>
  </si>
  <si>
    <t>2024-10-01</t>
  </si>
  <si>
    <t>Duarte do Campo</t>
  </si>
  <si>
    <t>da Mota do Amparo</t>
  </si>
  <si>
    <t>Farias do Amparo</t>
  </si>
  <si>
    <t>Rios de Cavalcanti</t>
  </si>
  <si>
    <t>Melo Alegre</t>
  </si>
  <si>
    <t>Monteiro das Flores</t>
  </si>
  <si>
    <t>Azevedo de Costa</t>
  </si>
  <si>
    <t>RFM Segmentation Summary</t>
  </si>
  <si>
    <t>Source: sql/08_rfm_segmentation.sql · Recency/Frequency/Monetary quartile scoring</t>
  </si>
  <si>
    <t>Segment</t>
  </si>
  <si>
    <t>Champions</t>
  </si>
  <si>
    <t>At-Risk High Value</t>
  </si>
  <si>
    <t>Needs Attention</t>
  </si>
  <si>
    <t>Hibernating</t>
  </si>
  <si>
    <t>Loyal Customers</t>
  </si>
  <si>
    <t>Promising / New</t>
  </si>
  <si>
    <t>Top 10 Customers by Lifetime Value</t>
  </si>
  <si>
    <t>Source: sql/02_top10_customers_ltv.sql</t>
  </si>
  <si>
    <t>Rank</t>
  </si>
  <si>
    <t>First Order</t>
  </si>
  <si>
    <t>Last Order</t>
  </si>
  <si>
    <t>2024-12-14</t>
  </si>
  <si>
    <t>2023-06-10</t>
  </si>
  <si>
    <t>2024-12-28</t>
  </si>
  <si>
    <t>Garcia do Oeste</t>
  </si>
  <si>
    <t>2024-11-25</t>
  </si>
  <si>
    <t>2024-12-27</t>
  </si>
  <si>
    <t>2023-07-28</t>
  </si>
  <si>
    <t>2024-12-26</t>
  </si>
  <si>
    <t>2024-12-10</t>
  </si>
  <si>
    <t>2024-12-23</t>
  </si>
  <si>
    <t>2024-12-08</t>
  </si>
  <si>
    <t>Oliveira do Galho</t>
  </si>
  <si>
    <t>2024-12-17</t>
  </si>
  <si>
    <t>$4,81,09,023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</si>
</sst>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0.0%"/>
  </numFmts>
  <fonts count="15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10"/>
      <color rgb="FF666666"/>
      <name val="Arial"/>
      <charset val="1"/>
    </font>
    <font>
      <sz val="9"/>
      <color rgb="FF666666"/>
      <name val="Arial"/>
      <charset val="1"/>
    </font>
    <font>
      <b/>
      <sz val="18"/>
      <color rgb="FF1F3864"/>
      <name val="Arial"/>
      <charset val="1"/>
    </font>
    <font>
      <i/>
      <sz val="9"/>
      <color rgb="FF888888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6"/>
      <color theme="2"/>
      <name val="Arial"/>
      <family val="2"/>
    </font>
    <font>
      <i/>
      <sz val="10"/>
      <color theme="2"/>
      <name val="Arial"/>
      <family val="2"/>
    </font>
    <font>
      <b/>
      <sz val="11"/>
      <color theme="2"/>
      <name val="Arial"/>
      <family val="2"/>
    </font>
    <font>
      <b/>
      <sz val="18"/>
      <color theme="3"/>
      <name val="Arial"/>
      <family val="2"/>
    </font>
    <font>
      <b/>
      <sz val="18"/>
      <color rgb="FF1F386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F9F9F9"/>
      </patternFill>
    </fill>
    <fill>
      <patternFill patternType="solid">
        <fgColor theme="2"/>
        <bgColor rgb="FFF9F9F9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/>
    <xf numFmtId="3" fontId="0" fillId="0" borderId="1" xfId="0" applyNumberFormat="1" applyBorder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0" fontId="9" fillId="0" borderId="1" xfId="0" applyFont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5" xfId="0" applyFill="1" applyBorder="1"/>
    <xf numFmtId="0" fontId="0" fillId="3" borderId="0" xfId="0" applyFill="1" applyAlignment="1">
      <alignment horizontal="left" indent="1"/>
    </xf>
    <xf numFmtId="0" fontId="0" fillId="3" borderId="6" xfId="0" applyFill="1" applyBorder="1" applyAlignment="1">
      <alignment horizontal="left" indent="1"/>
    </xf>
    <xf numFmtId="0" fontId="0" fillId="3" borderId="5" xfId="0" applyFill="1" applyBorder="1" applyAlignment="1">
      <alignment horizontal="left" indent="1"/>
    </xf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5" fillId="0" borderId="0" xfId="0" applyFont="1"/>
    <xf numFmtId="0" fontId="10" fillId="3" borderId="5" xfId="0" applyFont="1" applyFill="1" applyBorder="1" applyAlignment="1">
      <alignment horizontal="left" indent="51"/>
    </xf>
    <xf numFmtId="0" fontId="1" fillId="3" borderId="0" xfId="0" applyFont="1" applyFill="1" applyAlignment="1">
      <alignment horizontal="left" indent="51"/>
    </xf>
    <xf numFmtId="0" fontId="12" fillId="4" borderId="7" xfId="0" applyFont="1" applyFill="1" applyBorder="1" applyAlignment="1">
      <alignment horizontal="left" indent="1"/>
    </xf>
    <xf numFmtId="0" fontId="3" fillId="4" borderId="1" xfId="0" applyFont="1" applyFill="1" applyBorder="1" applyAlignment="1">
      <alignment horizontal="left" indent="1"/>
    </xf>
    <xf numFmtId="0" fontId="12" fillId="4" borderId="1" xfId="0" applyFont="1" applyFill="1" applyBorder="1" applyAlignment="1">
      <alignment horizontal="left" indent="1"/>
    </xf>
    <xf numFmtId="0" fontId="11" fillId="3" borderId="5" xfId="0" applyFont="1" applyFill="1" applyBorder="1" applyAlignment="1">
      <alignment horizontal="left" indent="44"/>
    </xf>
    <xf numFmtId="0" fontId="2" fillId="3" borderId="0" xfId="0" applyFont="1" applyFill="1" applyAlignment="1">
      <alignment horizontal="left" indent="44"/>
    </xf>
    <xf numFmtId="164" fontId="4" fillId="5" borderId="1" xfId="0" applyNumberFormat="1" applyFont="1" applyFill="1" applyBorder="1" applyAlignment="1">
      <alignment horizontal="left" indent="1"/>
    </xf>
    <xf numFmtId="3" fontId="4" fillId="5" borderId="1" xfId="0" applyNumberFormat="1" applyFont="1" applyFill="1" applyBorder="1" applyAlignment="1">
      <alignment horizontal="left" indent="1"/>
    </xf>
    <xf numFmtId="3" fontId="13" fillId="5" borderId="1" xfId="0" applyNumberFormat="1" applyFont="1" applyFill="1" applyBorder="1" applyAlignment="1">
      <alignment horizontal="left" indent="1"/>
    </xf>
    <xf numFmtId="164" fontId="14" fillId="5" borderId="7" xfId="0" applyNumberFormat="1" applyFont="1" applyFill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C87F0A"/>
      <rgbColor rgb="FF666666"/>
      <rgbColor rgb="FF888888"/>
      <rgbColor rgb="FF1F3864"/>
      <rgbColor rgb="FF0F9E8C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Revenue &amp; Order Volume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26936443056131"/>
          <c:y val="0.16038661561033157"/>
          <c:w val="0.78045994698526266"/>
          <c:h val="0.320915976364177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'Monthly Revenue'!$C$4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9E8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Revenue'!$A$5:$A$28</c:f>
              <c:strCache>
                <c:ptCount val="24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  <c:pt idx="23">
                  <c:v>2024-12</c:v>
                </c:pt>
              </c:strCache>
            </c:strRef>
          </c:cat>
          <c:val>
            <c:numRef>
              <c:f>'Monthly Revenue'!$C$5:$C$28</c:f>
              <c:numCache>
                <c:formatCode>\$#,##0;"($"#,##0\);\-</c:formatCode>
                <c:ptCount val="24"/>
                <c:pt idx="0">
                  <c:v>841.51</c:v>
                </c:pt>
                <c:pt idx="1">
                  <c:v>22903.84</c:v>
                </c:pt>
                <c:pt idx="2">
                  <c:v>138814.48000000001</c:v>
                </c:pt>
                <c:pt idx="3">
                  <c:v>225207.72</c:v>
                </c:pt>
                <c:pt idx="4">
                  <c:v>340315.62</c:v>
                </c:pt>
                <c:pt idx="5">
                  <c:v>449915.03</c:v>
                </c:pt>
                <c:pt idx="6">
                  <c:v>644698.16</c:v>
                </c:pt>
                <c:pt idx="7">
                  <c:v>751478.88</c:v>
                </c:pt>
                <c:pt idx="8">
                  <c:v>804718.99</c:v>
                </c:pt>
                <c:pt idx="9">
                  <c:v>1089700.45</c:v>
                </c:pt>
                <c:pt idx="10">
                  <c:v>1970779.17</c:v>
                </c:pt>
                <c:pt idx="11">
                  <c:v>2344687.5699999998</c:v>
                </c:pt>
                <c:pt idx="12">
                  <c:v>1993467.85</c:v>
                </c:pt>
                <c:pt idx="13">
                  <c:v>1960020.23</c:v>
                </c:pt>
                <c:pt idx="14">
                  <c:v>2344846.98</c:v>
                </c:pt>
                <c:pt idx="15">
                  <c:v>2452558.12</c:v>
                </c:pt>
                <c:pt idx="16">
                  <c:v>2653191.52</c:v>
                </c:pt>
                <c:pt idx="17">
                  <c:v>2936496.99</c:v>
                </c:pt>
                <c:pt idx="18">
                  <c:v>3051597.74</c:v>
                </c:pt>
                <c:pt idx="19">
                  <c:v>3454213.92</c:v>
                </c:pt>
                <c:pt idx="20">
                  <c:v>3700883.28</c:v>
                </c:pt>
                <c:pt idx="21">
                  <c:v>4270387.96</c:v>
                </c:pt>
                <c:pt idx="22">
                  <c:v>5793760.8200000003</c:v>
                </c:pt>
                <c:pt idx="23">
                  <c:v>4713535.75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1-47E2-9763-81AEC6E07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68852"/>
        <c:axId val="84733882"/>
      </c:barChart>
      <c:lineChart>
        <c:grouping val="standard"/>
        <c:varyColors val="0"/>
        <c:ser>
          <c:idx val="1"/>
          <c:order val="1"/>
          <c:tx>
            <c:strRef>
              <c:f>'Monthly Revenue'!$B$4</c:f>
              <c:strCache>
                <c:ptCount val="1"/>
                <c:pt idx="0">
                  <c:v>Orders</c:v>
                </c:pt>
              </c:strCache>
            </c:strRef>
          </c:tx>
          <c:spPr>
            <a:ln w="20160">
              <a:solidFill>
                <a:srgbClr val="C87F0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Revenue'!$A$5:$A$28</c:f>
              <c:strCache>
                <c:ptCount val="24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  <c:pt idx="23">
                  <c:v>2024-12</c:v>
                </c:pt>
              </c:strCache>
            </c:strRef>
          </c:cat>
          <c:val>
            <c:numRef>
              <c:f>'Monthly Revenue'!$B$5:$B$28</c:f>
              <c:numCache>
                <c:formatCode>#,##0</c:formatCode>
                <c:ptCount val="24"/>
                <c:pt idx="0">
                  <c:v>4</c:v>
                </c:pt>
                <c:pt idx="1">
                  <c:v>21</c:v>
                </c:pt>
                <c:pt idx="2">
                  <c:v>71</c:v>
                </c:pt>
                <c:pt idx="3">
                  <c:v>108</c:v>
                </c:pt>
                <c:pt idx="4">
                  <c:v>189</c:v>
                </c:pt>
                <c:pt idx="5">
                  <c:v>212</c:v>
                </c:pt>
                <c:pt idx="6">
                  <c:v>335</c:v>
                </c:pt>
                <c:pt idx="7">
                  <c:v>380</c:v>
                </c:pt>
                <c:pt idx="8">
                  <c:v>419</c:v>
                </c:pt>
                <c:pt idx="9">
                  <c:v>534</c:v>
                </c:pt>
                <c:pt idx="10">
                  <c:v>1025</c:v>
                </c:pt>
                <c:pt idx="11">
                  <c:v>1220</c:v>
                </c:pt>
                <c:pt idx="12">
                  <c:v>1037</c:v>
                </c:pt>
                <c:pt idx="13">
                  <c:v>1013</c:v>
                </c:pt>
                <c:pt idx="14">
                  <c:v>1217</c:v>
                </c:pt>
                <c:pt idx="15">
                  <c:v>1269</c:v>
                </c:pt>
                <c:pt idx="16">
                  <c:v>1355</c:v>
                </c:pt>
                <c:pt idx="17">
                  <c:v>1546</c:v>
                </c:pt>
                <c:pt idx="18">
                  <c:v>1641</c:v>
                </c:pt>
                <c:pt idx="19">
                  <c:v>1797</c:v>
                </c:pt>
                <c:pt idx="20">
                  <c:v>2017</c:v>
                </c:pt>
                <c:pt idx="21">
                  <c:v>2238</c:v>
                </c:pt>
                <c:pt idx="22">
                  <c:v>2980</c:v>
                </c:pt>
                <c:pt idx="23">
                  <c:v>2380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B1-47E2-9763-81AEC6E07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5728488"/>
        <c:axId val="56962675"/>
      </c:lineChart>
      <c:catAx>
        <c:axId val="59688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733882"/>
        <c:crosses val="autoZero"/>
        <c:auto val="1"/>
        <c:lblAlgn val="ctr"/>
        <c:lblOffset val="100"/>
        <c:noMultiLvlLbl val="0"/>
      </c:catAx>
      <c:valAx>
        <c:axId val="8473388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68852"/>
        <c:crosses val="autoZero"/>
        <c:crossBetween val="between"/>
      </c:valAx>
      <c:catAx>
        <c:axId val="457284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962675"/>
        <c:crosses val="autoZero"/>
        <c:auto val="1"/>
        <c:lblAlgn val="ctr"/>
        <c:lblOffset val="100"/>
        <c:noMultiLvlLbl val="0"/>
      </c:catAx>
      <c:valAx>
        <c:axId val="5696267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728488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tx2">
        <a:lumMod val="20000"/>
        <a:lumOff val="80000"/>
      </a:schemeClr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'Category Revenue'!$D$4</c:f>
              <c:strCache>
                <c:ptCount val="1"/>
                <c:pt idx="0">
                  <c:v>Gross Revenue</c:v>
                </c:pt>
              </c:strCache>
            </c:strRef>
          </c:tx>
          <c:spPr>
            <a:solidFill>
              <a:srgbClr val="0F9E8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'Category Revenue'!$A$5:$A$14</c:f>
              <c:strCache>
                <c:ptCount val="10"/>
                <c:pt idx="0">
                  <c:v>Electronics</c:v>
                </c:pt>
                <c:pt idx="1">
                  <c:v>Computers Tablets</c:v>
                </c:pt>
                <c:pt idx="2">
                  <c:v>Home Furniture</c:v>
                </c:pt>
                <c:pt idx="3">
                  <c:v>Auto Parts</c:v>
                </c:pt>
                <c:pt idx="4">
                  <c:v>Sports Leisure</c:v>
                </c:pt>
                <c:pt idx="5">
                  <c:v>Fashion Accessories</c:v>
                </c:pt>
                <c:pt idx="6">
                  <c:v>Housewares</c:v>
                </c:pt>
                <c:pt idx="7">
                  <c:v>Beauty Health</c:v>
                </c:pt>
                <c:pt idx="8">
                  <c:v>Toys Baby</c:v>
                </c:pt>
                <c:pt idx="9">
                  <c:v>Books Stationery</c:v>
                </c:pt>
              </c:strCache>
            </c:strRef>
          </c:cat>
          <c:val>
            <c:numRef>
              <c:f>'Category Revenue'!$D$5:$D$14</c:f>
              <c:numCache>
                <c:formatCode>\$#,##0;"($"#,##0\);\-</c:formatCode>
                <c:ptCount val="10"/>
                <c:pt idx="0">
                  <c:v>16665748.18</c:v>
                </c:pt>
                <c:pt idx="1">
                  <c:v>12107045.41</c:v>
                </c:pt>
                <c:pt idx="2">
                  <c:v>7492844.0499999998</c:v>
                </c:pt>
                <c:pt idx="3">
                  <c:v>2606890.1</c:v>
                </c:pt>
                <c:pt idx="4">
                  <c:v>2466146.98</c:v>
                </c:pt>
                <c:pt idx="5">
                  <c:v>1647454.27</c:v>
                </c:pt>
                <c:pt idx="6">
                  <c:v>1372243.64</c:v>
                </c:pt>
                <c:pt idx="7">
                  <c:v>1230883.9099999999</c:v>
                </c:pt>
                <c:pt idx="8">
                  <c:v>946298.38</c:v>
                </c:pt>
                <c:pt idx="9">
                  <c:v>337085.88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B-4BB9-89C6-D4B738966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133663"/>
        <c:axId val="14295381"/>
      </c:barChart>
      <c:catAx>
        <c:axId val="9213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295381"/>
        <c:crosses val="autoZero"/>
        <c:auto val="1"/>
        <c:lblAlgn val="ctr"/>
        <c:lblOffset val="100"/>
        <c:noMultiLvlLbl val="0"/>
      </c:catAx>
      <c:valAx>
        <c:axId val="1429538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1336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chemeClr val="tx2">
        <a:lumMod val="20000"/>
        <a:lumOff val="80000"/>
      </a:schemeClr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Order Value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AOV'!$D$4</c:f>
              <c:strCache>
                <c:ptCount val="1"/>
                <c:pt idx="0">
                  <c:v>Avg Order Value</c:v>
                </c:pt>
              </c:strCache>
            </c:strRef>
          </c:tx>
          <c:spPr>
            <a:solidFill>
              <a:srgbClr val="C87F0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'Region AOV'!$A$5:$A$9</c:f>
              <c:strCache>
                <c:ptCount val="5"/>
                <c:pt idx="0">
                  <c:v>Southeast</c:v>
                </c:pt>
                <c:pt idx="1">
                  <c:v>South</c:v>
                </c:pt>
                <c:pt idx="2">
                  <c:v>Northeast</c:v>
                </c:pt>
                <c:pt idx="3">
                  <c:v>Central-West</c:v>
                </c:pt>
                <c:pt idx="4">
                  <c:v>North</c:v>
                </c:pt>
              </c:strCache>
            </c:strRef>
          </c:cat>
          <c:val>
            <c:numRef>
              <c:f>'Region AOV'!$D$5:$D$9</c:f>
              <c:numCache>
                <c:formatCode>\$#,##0;"($"#,##0\);\-</c:formatCode>
                <c:ptCount val="5"/>
                <c:pt idx="0">
                  <c:v>1915.4891049217854</c:v>
                </c:pt>
                <c:pt idx="1">
                  <c:v>1908.4939194954554</c:v>
                </c:pt>
                <c:pt idx="2">
                  <c:v>1945.7231516778525</c:v>
                </c:pt>
                <c:pt idx="3">
                  <c:v>1980.4810700304481</c:v>
                </c:pt>
                <c:pt idx="4">
                  <c:v>1878.8984016393445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D5-4B53-890F-8451D842D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472774"/>
        <c:axId val="27785266"/>
      </c:barChart>
      <c:catAx>
        <c:axId val="954727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785266"/>
        <c:crosses val="autoZero"/>
        <c:auto val="1"/>
        <c:lblAlgn val="ctr"/>
        <c:lblOffset val="100"/>
        <c:noMultiLvlLbl val="0"/>
      </c:catAx>
      <c:valAx>
        <c:axId val="277852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4727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chemeClr val="tx2">
        <a:lumMod val="20000"/>
        <a:lumOff val="80000"/>
      </a:schemeClr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Customers by Churn Risk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'Churn Risk'!$B$5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F9E8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5AD-44FB-95D4-167C7FE97B3B}"/>
              </c:ext>
            </c:extLst>
          </c:dPt>
          <c:dPt>
            <c:idx val="1"/>
            <c:bubble3D val="0"/>
            <c:spPr>
              <a:solidFill>
                <a:srgbClr val="C87F0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5AD-44FB-95D4-167C7FE97B3B}"/>
              </c:ext>
            </c:extLst>
          </c:dPt>
          <c:dPt>
            <c:idx val="2"/>
            <c:bubble3D val="0"/>
            <c:spPr>
              <a:solidFill>
                <a:srgbClr val="C0392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5AD-44FB-95D4-167C7FE97B3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5AD-44FB-95D4-167C7FE97B3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AD-44FB-95D4-167C7FE97B3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AD-44FB-95D4-167C7FE97B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'Churn Risk'!$A$6:$A$8</c:f>
              <c:strCache>
                <c:ptCount val="3"/>
                <c:pt idx="0">
                  <c:v>Active (&lt;90d)</c:v>
                </c:pt>
                <c:pt idx="1">
                  <c:v>At risk (90-179d)</c:v>
                </c:pt>
                <c:pt idx="2">
                  <c:v>High risk (180+d)</c:v>
                </c:pt>
              </c:strCache>
            </c:strRef>
          </c:cat>
          <c:val>
            <c:numRef>
              <c:f>'Churn Risk'!$B$6:$B$8</c:f>
              <c:numCache>
                <c:formatCode>#,##0</c:formatCode>
                <c:ptCount val="3"/>
                <c:pt idx="0">
                  <c:v>4014</c:v>
                </c:pt>
                <c:pt idx="1">
                  <c:v>1491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AD-44FB-95D4-167C7FE97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tx2">
        <a:lumMod val="20000"/>
        <a:lumOff val="80000"/>
      </a:schemeClr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RFM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'RFM Segments'!$C$4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'RFM Segments'!$A$5:$A$10</c:f>
              <c:strCache>
                <c:ptCount val="6"/>
                <c:pt idx="0">
                  <c:v>Champions</c:v>
                </c:pt>
                <c:pt idx="1">
                  <c:v>At-Risk High Value</c:v>
                </c:pt>
                <c:pt idx="2">
                  <c:v>Needs Attention</c:v>
                </c:pt>
                <c:pt idx="3">
                  <c:v>Hibernating</c:v>
                </c:pt>
                <c:pt idx="4">
                  <c:v>Loyal Customers</c:v>
                </c:pt>
                <c:pt idx="5">
                  <c:v>Promising / New</c:v>
                </c:pt>
              </c:strCache>
            </c:strRef>
          </c:cat>
          <c:val>
            <c:numRef>
              <c:f>'RFM Segments'!$C$5:$C$10</c:f>
              <c:numCache>
                <c:formatCode>\$#,##0;"($"#,##0\);\-</c:formatCode>
                <c:ptCount val="6"/>
                <c:pt idx="0">
                  <c:v>29120126.27</c:v>
                </c:pt>
                <c:pt idx="1">
                  <c:v>7544334.7999999998</c:v>
                </c:pt>
                <c:pt idx="2">
                  <c:v>4649643.1100000003</c:v>
                </c:pt>
                <c:pt idx="3">
                  <c:v>3121412.69</c:v>
                </c:pt>
                <c:pt idx="4">
                  <c:v>3119037.9</c:v>
                </c:pt>
                <c:pt idx="5">
                  <c:v>554467.81000000006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E-4CB8-B477-256500E1D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748752"/>
        <c:axId val="62952073"/>
      </c:barChart>
      <c:catAx>
        <c:axId val="91748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952073"/>
        <c:crosses val="autoZero"/>
        <c:auto val="1"/>
        <c:lblAlgn val="ctr"/>
        <c:lblOffset val="100"/>
        <c:noMultiLvlLbl val="0"/>
      </c:catAx>
      <c:valAx>
        <c:axId val="6295207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748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chemeClr val="tx2">
        <a:lumMod val="20000"/>
        <a:lumOff val="80000"/>
      </a:schemeClr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15551</xdr:colOff>
      <xdr:row>7</xdr:row>
      <xdr:rowOff>178838</xdr:rowOff>
    </xdr:from>
    <xdr:to>
      <xdr:col>19</xdr:col>
      <xdr:colOff>23327</xdr:colOff>
      <xdr:row>65</xdr:row>
      <xdr:rowOff>9895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EB59C51-25F6-9B8F-436A-1B79472AFE3D}"/>
            </a:ext>
          </a:extLst>
        </xdr:cNvPr>
        <xdr:cNvSpPr/>
      </xdr:nvSpPr>
      <xdr:spPr>
        <a:xfrm>
          <a:off x="155510" y="1663960"/>
          <a:ext cx="12767388" cy="1065456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 editAs="oneCell">
    <xdr:from>
      <xdr:col>1</xdr:col>
      <xdr:colOff>147735</xdr:colOff>
      <xdr:row>8</xdr:row>
      <xdr:rowOff>119155</xdr:rowOff>
    </xdr:from>
    <xdr:to>
      <xdr:col>18</xdr:col>
      <xdr:colOff>326571</xdr:colOff>
      <xdr:row>25</xdr:row>
      <xdr:rowOff>120235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101081</xdr:colOff>
      <xdr:row>26</xdr:row>
      <xdr:rowOff>163286</xdr:rowOff>
    </xdr:from>
    <xdr:to>
      <xdr:col>9</xdr:col>
      <xdr:colOff>147734</xdr:colOff>
      <xdr:row>44</xdr:row>
      <xdr:rowOff>73582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458756</xdr:colOff>
      <xdr:row>26</xdr:row>
      <xdr:rowOff>158032</xdr:rowOff>
    </xdr:from>
    <xdr:to>
      <xdr:col>18</xdr:col>
      <xdr:colOff>282380</xdr:colOff>
      <xdr:row>44</xdr:row>
      <xdr:rowOff>54428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62203</xdr:colOff>
      <xdr:row>45</xdr:row>
      <xdr:rowOff>119152</xdr:rowOff>
    </xdr:from>
    <xdr:to>
      <xdr:col>9</xdr:col>
      <xdr:colOff>171061</xdr:colOff>
      <xdr:row>63</xdr:row>
      <xdr:rowOff>38877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466531</xdr:colOff>
      <xdr:row>45</xdr:row>
      <xdr:rowOff>85530</xdr:rowOff>
    </xdr:from>
    <xdr:to>
      <xdr:col>18</xdr:col>
      <xdr:colOff>320040</xdr:colOff>
      <xdr:row>63</xdr:row>
      <xdr:rowOff>42480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"/>
  <sheetViews>
    <sheetView showGridLines="0" tabSelected="1" topLeftCell="A3" zoomScale="41" zoomScaleNormal="100" workbookViewId="0">
      <selection activeCell="AC28" sqref="AC28"/>
    </sheetView>
  </sheetViews>
  <sheetFormatPr defaultColWidth="8.6640625" defaultRowHeight="14.4" x14ac:dyDescent="0.3"/>
  <cols>
    <col min="1" max="1" width="2" customWidth="1"/>
    <col min="2" max="14" width="11" customWidth="1"/>
  </cols>
  <sheetData>
    <row r="1" spans="1:19" x14ac:dyDescent="0.3">
      <c r="A1" s="15"/>
      <c r="B1" s="17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9"/>
      <c r="P1" s="19"/>
      <c r="Q1" s="19"/>
      <c r="R1" s="19"/>
      <c r="S1" s="20"/>
    </row>
    <row r="2" spans="1:19" ht="21" x14ac:dyDescent="0.4">
      <c r="A2" s="15"/>
      <c r="B2" s="30" t="s">
        <v>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16"/>
      <c r="P2" s="16"/>
      <c r="Q2" s="16"/>
      <c r="R2" s="16"/>
      <c r="S2" s="21"/>
    </row>
    <row r="3" spans="1:19" x14ac:dyDescent="0.3">
      <c r="B3" s="35" t="s">
        <v>1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16"/>
      <c r="P3" s="16"/>
      <c r="Q3" s="16"/>
      <c r="R3" s="16"/>
      <c r="S3" s="21"/>
    </row>
    <row r="4" spans="1:19" x14ac:dyDescent="0.3">
      <c r="B4" s="22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21"/>
    </row>
    <row r="5" spans="1:19" x14ac:dyDescent="0.3">
      <c r="B5" s="32" t="s">
        <v>2</v>
      </c>
      <c r="C5" s="33"/>
      <c r="D5" s="23"/>
      <c r="E5" s="16"/>
      <c r="F5" s="34" t="s">
        <v>3</v>
      </c>
      <c r="G5" s="33"/>
      <c r="H5" s="16"/>
      <c r="I5" s="16"/>
      <c r="J5" s="34" t="s">
        <v>4</v>
      </c>
      <c r="K5" s="33"/>
      <c r="L5" s="16"/>
      <c r="M5" s="16"/>
      <c r="N5" s="34" t="s">
        <v>5</v>
      </c>
      <c r="O5" s="33"/>
      <c r="P5" s="16"/>
      <c r="Q5" s="16"/>
      <c r="R5" s="34" t="s">
        <v>6</v>
      </c>
      <c r="S5" s="33"/>
    </row>
    <row r="6" spans="1:19" ht="22.8" x14ac:dyDescent="0.4">
      <c r="B6" s="40" t="s">
        <v>2062</v>
      </c>
      <c r="C6" s="37"/>
      <c r="D6" s="23"/>
      <c r="E6" s="16"/>
      <c r="F6" s="38">
        <f>'Monthly Revenue'!B29</f>
        <v>25008</v>
      </c>
      <c r="G6" s="38"/>
      <c r="H6" s="16"/>
      <c r="I6" s="16"/>
      <c r="J6" s="38">
        <v>7499</v>
      </c>
      <c r="K6" s="38"/>
      <c r="L6" s="16"/>
      <c r="M6" s="16"/>
      <c r="N6" s="37">
        <f>'Monthly Revenue'!C29/'Monthly Revenue'!B29</f>
        <v>1923.7453047024953</v>
      </c>
      <c r="O6" s="37"/>
      <c r="P6" s="16"/>
      <c r="Q6" s="16"/>
      <c r="R6" s="39">
        <f>SUM('Churn Risk'!B7:B8)</f>
        <v>3391</v>
      </c>
      <c r="S6" s="39"/>
    </row>
    <row r="7" spans="1:19" x14ac:dyDescent="0.3">
      <c r="B7" s="25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4"/>
    </row>
    <row r="8" spans="1:19" x14ac:dyDescent="0.3"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</row>
    <row r="9" spans="1:19" x14ac:dyDescent="0.3">
      <c r="B9" s="29" t="s">
        <v>7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</row>
  </sheetData>
  <mergeCells count="13">
    <mergeCell ref="R6:S6"/>
    <mergeCell ref="B2:N2"/>
    <mergeCell ref="B3:N3"/>
    <mergeCell ref="B5:C5"/>
    <mergeCell ref="F5:G5"/>
    <mergeCell ref="J5:K5"/>
    <mergeCell ref="N5:O5"/>
    <mergeCell ref="R5:S5"/>
    <mergeCell ref="B9:N9"/>
    <mergeCell ref="B6:C6"/>
    <mergeCell ref="F6:G6"/>
    <mergeCell ref="J6:K6"/>
    <mergeCell ref="N6:O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0" customWidth="1"/>
    <col min="3" max="3" width="15" customWidth="1"/>
    <col min="4" max="4" width="18" customWidth="1"/>
    <col min="5" max="5" width="14" customWidth="1"/>
    <col min="6" max="6" width="12" customWidth="1"/>
  </cols>
  <sheetData>
    <row r="1" spans="1:6" ht="15.6" x14ac:dyDescent="0.3">
      <c r="A1" s="2" t="s">
        <v>8</v>
      </c>
    </row>
    <row r="2" spans="1:6" x14ac:dyDescent="0.3">
      <c r="A2" s="1" t="s">
        <v>9</v>
      </c>
    </row>
    <row r="4" spans="1:6" x14ac:dyDescent="0.3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</row>
    <row r="5" spans="1:6" x14ac:dyDescent="0.3">
      <c r="A5" s="4" t="s">
        <v>16</v>
      </c>
      <c r="B5" s="5">
        <v>4</v>
      </c>
      <c r="C5" s="6">
        <v>841.51</v>
      </c>
      <c r="D5" s="6">
        <f>C5</f>
        <v>841.51</v>
      </c>
      <c r="E5" s="6">
        <f t="shared" ref="E5:E28" si="0">IFERROR(C5/B5,0)</f>
        <v>210.3775</v>
      </c>
      <c r="F5" s="7"/>
    </row>
    <row r="6" spans="1:6" x14ac:dyDescent="0.3">
      <c r="A6" s="4" t="s">
        <v>17</v>
      </c>
      <c r="B6" s="5">
        <v>21</v>
      </c>
      <c r="C6" s="6">
        <v>22903.84</v>
      </c>
      <c r="D6" s="6">
        <f t="shared" ref="D6:D28" si="1">D5+C6</f>
        <v>23745.35</v>
      </c>
      <c r="E6" s="6">
        <f t="shared" si="0"/>
        <v>1090.6590476190477</v>
      </c>
      <c r="F6" s="8">
        <f t="shared" ref="F6:F28" si="2">IFERROR(C6/C5-1,"")</f>
        <v>26.217549405235825</v>
      </c>
    </row>
    <row r="7" spans="1:6" x14ac:dyDescent="0.3">
      <c r="A7" s="4" t="s">
        <v>18</v>
      </c>
      <c r="B7" s="5">
        <v>71</v>
      </c>
      <c r="C7" s="6">
        <v>138814.48000000001</v>
      </c>
      <c r="D7" s="6">
        <f t="shared" si="1"/>
        <v>162559.83000000002</v>
      </c>
      <c r="E7" s="6">
        <f t="shared" si="0"/>
        <v>1955.1335211267608</v>
      </c>
      <c r="F7" s="8">
        <f t="shared" si="2"/>
        <v>5.0607513849206081</v>
      </c>
    </row>
    <row r="8" spans="1:6" x14ac:dyDescent="0.3">
      <c r="A8" s="4" t="s">
        <v>19</v>
      </c>
      <c r="B8" s="5">
        <v>108</v>
      </c>
      <c r="C8" s="6">
        <v>225207.72</v>
      </c>
      <c r="D8" s="6">
        <f t="shared" si="1"/>
        <v>387767.55000000005</v>
      </c>
      <c r="E8" s="6">
        <f t="shared" si="0"/>
        <v>2085.2566666666667</v>
      </c>
      <c r="F8" s="8">
        <f t="shared" si="2"/>
        <v>0.62236475618393694</v>
      </c>
    </row>
    <row r="9" spans="1:6" x14ac:dyDescent="0.3">
      <c r="A9" s="4" t="s">
        <v>20</v>
      </c>
      <c r="B9" s="5">
        <v>189</v>
      </c>
      <c r="C9" s="6">
        <v>340315.62</v>
      </c>
      <c r="D9" s="6">
        <f t="shared" si="1"/>
        <v>728083.17</v>
      </c>
      <c r="E9" s="6">
        <f t="shared" si="0"/>
        <v>1800.611746031746</v>
      </c>
      <c r="F9" s="8">
        <f t="shared" si="2"/>
        <v>0.51111880178885527</v>
      </c>
    </row>
    <row r="10" spans="1:6" x14ac:dyDescent="0.3">
      <c r="A10" s="4" t="s">
        <v>21</v>
      </c>
      <c r="B10" s="5">
        <v>212</v>
      </c>
      <c r="C10" s="6">
        <v>449915.03</v>
      </c>
      <c r="D10" s="6">
        <f t="shared" si="1"/>
        <v>1177998.2000000002</v>
      </c>
      <c r="E10" s="6">
        <f t="shared" si="0"/>
        <v>2122.2407075471701</v>
      </c>
      <c r="F10" s="8">
        <f t="shared" si="2"/>
        <v>0.32205224667618859</v>
      </c>
    </row>
    <row r="11" spans="1:6" x14ac:dyDescent="0.3">
      <c r="A11" s="4" t="s">
        <v>22</v>
      </c>
      <c r="B11" s="5">
        <v>335</v>
      </c>
      <c r="C11" s="6">
        <v>644698.16</v>
      </c>
      <c r="D11" s="6">
        <f t="shared" si="1"/>
        <v>1822696.3600000003</v>
      </c>
      <c r="E11" s="6">
        <f t="shared" si="0"/>
        <v>1924.4721194029851</v>
      </c>
      <c r="F11" s="8">
        <f t="shared" si="2"/>
        <v>0.43293314739896549</v>
      </c>
    </row>
    <row r="12" spans="1:6" x14ac:dyDescent="0.3">
      <c r="A12" s="4" t="s">
        <v>23</v>
      </c>
      <c r="B12" s="5">
        <v>380</v>
      </c>
      <c r="C12" s="6">
        <v>751478.88</v>
      </c>
      <c r="D12" s="6">
        <f t="shared" si="1"/>
        <v>2574175.2400000002</v>
      </c>
      <c r="E12" s="6">
        <f t="shared" si="0"/>
        <v>1977.576</v>
      </c>
      <c r="F12" s="8">
        <f t="shared" si="2"/>
        <v>0.1656290131183249</v>
      </c>
    </row>
    <row r="13" spans="1:6" x14ac:dyDescent="0.3">
      <c r="A13" s="4" t="s">
        <v>24</v>
      </c>
      <c r="B13" s="5">
        <v>419</v>
      </c>
      <c r="C13" s="6">
        <v>804718.99</v>
      </c>
      <c r="D13" s="6">
        <f t="shared" si="1"/>
        <v>3378894.2300000004</v>
      </c>
      <c r="E13" s="6">
        <f t="shared" si="0"/>
        <v>1920.5703818615752</v>
      </c>
      <c r="F13" s="8">
        <f t="shared" si="2"/>
        <v>7.0847114159748648E-2</v>
      </c>
    </row>
    <row r="14" spans="1:6" x14ac:dyDescent="0.3">
      <c r="A14" s="4" t="s">
        <v>25</v>
      </c>
      <c r="B14" s="5">
        <v>534</v>
      </c>
      <c r="C14" s="6">
        <v>1089700.45</v>
      </c>
      <c r="D14" s="6">
        <f t="shared" si="1"/>
        <v>4468594.6800000006</v>
      </c>
      <c r="E14" s="6">
        <f t="shared" si="0"/>
        <v>2040.6375468164792</v>
      </c>
      <c r="F14" s="8">
        <f t="shared" si="2"/>
        <v>0.35413785873252479</v>
      </c>
    </row>
    <row r="15" spans="1:6" x14ac:dyDescent="0.3">
      <c r="A15" s="4" t="s">
        <v>26</v>
      </c>
      <c r="B15" s="5">
        <v>1025</v>
      </c>
      <c r="C15" s="6">
        <v>1970779.17</v>
      </c>
      <c r="D15" s="6">
        <f t="shared" si="1"/>
        <v>6439373.8500000006</v>
      </c>
      <c r="E15" s="6">
        <f t="shared" si="0"/>
        <v>1922.7113853658536</v>
      </c>
      <c r="F15" s="8">
        <f t="shared" si="2"/>
        <v>0.80855130416803989</v>
      </c>
    </row>
    <row r="16" spans="1:6" x14ac:dyDescent="0.3">
      <c r="A16" s="4" t="s">
        <v>27</v>
      </c>
      <c r="B16" s="5">
        <v>1220</v>
      </c>
      <c r="C16" s="6">
        <v>2344687.5699999998</v>
      </c>
      <c r="D16" s="6">
        <f t="shared" si="1"/>
        <v>8784061.4199999999</v>
      </c>
      <c r="E16" s="6">
        <f t="shared" si="0"/>
        <v>1921.875057377049</v>
      </c>
      <c r="F16" s="8">
        <f t="shared" si="2"/>
        <v>0.18972617819986382</v>
      </c>
    </row>
    <row r="17" spans="1:6" x14ac:dyDescent="0.3">
      <c r="A17" s="4" t="s">
        <v>28</v>
      </c>
      <c r="B17" s="5">
        <v>1037</v>
      </c>
      <c r="C17" s="6">
        <v>1993467.85</v>
      </c>
      <c r="D17" s="6">
        <f t="shared" si="1"/>
        <v>10777529.27</v>
      </c>
      <c r="E17" s="6">
        <f t="shared" si="0"/>
        <v>1922.341224686596</v>
      </c>
      <c r="F17" s="8">
        <f t="shared" si="2"/>
        <v>-0.1497938251960792</v>
      </c>
    </row>
    <row r="18" spans="1:6" x14ac:dyDescent="0.3">
      <c r="A18" s="4" t="s">
        <v>29</v>
      </c>
      <c r="B18" s="5">
        <v>1013</v>
      </c>
      <c r="C18" s="6">
        <v>1960020.23</v>
      </c>
      <c r="D18" s="6">
        <f t="shared" si="1"/>
        <v>12737549.5</v>
      </c>
      <c r="E18" s="6">
        <f t="shared" si="0"/>
        <v>1934.8669595261599</v>
      </c>
      <c r="F18" s="8">
        <f t="shared" si="2"/>
        <v>-1.6778610199306709E-2</v>
      </c>
    </row>
    <row r="19" spans="1:6" x14ac:dyDescent="0.3">
      <c r="A19" s="4" t="s">
        <v>30</v>
      </c>
      <c r="B19" s="5">
        <v>1217</v>
      </c>
      <c r="C19" s="6">
        <v>2344846.98</v>
      </c>
      <c r="D19" s="6">
        <f t="shared" si="1"/>
        <v>15082396.48</v>
      </c>
      <c r="E19" s="6">
        <f t="shared" si="0"/>
        <v>1926.7436154478225</v>
      </c>
      <c r="F19" s="8">
        <f t="shared" si="2"/>
        <v>0.19633815208121597</v>
      </c>
    </row>
    <row r="20" spans="1:6" x14ac:dyDescent="0.3">
      <c r="A20" s="4" t="s">
        <v>31</v>
      </c>
      <c r="B20" s="5">
        <v>1269</v>
      </c>
      <c r="C20" s="6">
        <v>2452558.12</v>
      </c>
      <c r="D20" s="6">
        <f t="shared" si="1"/>
        <v>17534954.600000001</v>
      </c>
      <c r="E20" s="6">
        <f t="shared" si="0"/>
        <v>1932.669913317573</v>
      </c>
      <c r="F20" s="8">
        <f t="shared" si="2"/>
        <v>4.5935253310218194E-2</v>
      </c>
    </row>
    <row r="21" spans="1:6" x14ac:dyDescent="0.3">
      <c r="A21" s="4" t="s">
        <v>32</v>
      </c>
      <c r="B21" s="5">
        <v>1355</v>
      </c>
      <c r="C21" s="6">
        <v>2653191.52</v>
      </c>
      <c r="D21" s="6">
        <f t="shared" si="1"/>
        <v>20188146.120000001</v>
      </c>
      <c r="E21" s="6">
        <f t="shared" si="0"/>
        <v>1958.0749225092252</v>
      </c>
      <c r="F21" s="8">
        <f t="shared" si="2"/>
        <v>8.1805767767085591E-2</v>
      </c>
    </row>
    <row r="22" spans="1:6" x14ac:dyDescent="0.3">
      <c r="A22" s="4" t="s">
        <v>33</v>
      </c>
      <c r="B22" s="5">
        <v>1546</v>
      </c>
      <c r="C22" s="6">
        <v>2936496.99</v>
      </c>
      <c r="D22" s="6">
        <f t="shared" si="1"/>
        <v>23124643.109999999</v>
      </c>
      <c r="E22" s="6">
        <f t="shared" si="0"/>
        <v>1899.4159055627426</v>
      </c>
      <c r="F22" s="8">
        <f t="shared" si="2"/>
        <v>0.10677912539084256</v>
      </c>
    </row>
    <row r="23" spans="1:6" x14ac:dyDescent="0.3">
      <c r="A23" s="4" t="s">
        <v>34</v>
      </c>
      <c r="B23" s="5">
        <v>1641</v>
      </c>
      <c r="C23" s="6">
        <v>3051597.74</v>
      </c>
      <c r="D23" s="6">
        <f t="shared" si="1"/>
        <v>26176240.850000001</v>
      </c>
      <c r="E23" s="6">
        <f t="shared" si="0"/>
        <v>1859.5964290067034</v>
      </c>
      <c r="F23" s="8">
        <f t="shared" si="2"/>
        <v>3.9196617736018791E-2</v>
      </c>
    </row>
    <row r="24" spans="1:6" x14ac:dyDescent="0.3">
      <c r="A24" s="4" t="s">
        <v>35</v>
      </c>
      <c r="B24" s="5">
        <v>1797</v>
      </c>
      <c r="C24" s="6">
        <v>3454213.92</v>
      </c>
      <c r="D24" s="6">
        <f t="shared" si="1"/>
        <v>29630454.770000003</v>
      </c>
      <c r="E24" s="6">
        <f t="shared" si="0"/>
        <v>1922.2114190317195</v>
      </c>
      <c r="F24" s="8">
        <f t="shared" si="2"/>
        <v>0.13193619025291303</v>
      </c>
    </row>
    <row r="25" spans="1:6" x14ac:dyDescent="0.3">
      <c r="A25" s="4" t="s">
        <v>36</v>
      </c>
      <c r="B25" s="5">
        <v>2017</v>
      </c>
      <c r="C25" s="6">
        <v>3700883.28</v>
      </c>
      <c r="D25" s="6">
        <f t="shared" si="1"/>
        <v>33331338.050000004</v>
      </c>
      <c r="E25" s="6">
        <f t="shared" si="0"/>
        <v>1834.8454536440256</v>
      </c>
      <c r="F25" s="8">
        <f t="shared" si="2"/>
        <v>7.1411141785914678E-2</v>
      </c>
    </row>
    <row r="26" spans="1:6" x14ac:dyDescent="0.3">
      <c r="A26" s="4" t="s">
        <v>37</v>
      </c>
      <c r="B26" s="5">
        <v>2238</v>
      </c>
      <c r="C26" s="6">
        <v>4270387.96</v>
      </c>
      <c r="D26" s="6">
        <f t="shared" si="1"/>
        <v>37601726.010000005</v>
      </c>
      <c r="E26" s="6">
        <f t="shared" si="0"/>
        <v>1908.1268811438783</v>
      </c>
      <c r="F26" s="8">
        <f t="shared" si="2"/>
        <v>0.15388344806162069</v>
      </c>
    </row>
    <row r="27" spans="1:6" x14ac:dyDescent="0.3">
      <c r="A27" s="4" t="s">
        <v>38</v>
      </c>
      <c r="B27" s="5">
        <v>2980</v>
      </c>
      <c r="C27" s="6">
        <v>5793760.8200000003</v>
      </c>
      <c r="D27" s="6">
        <f t="shared" si="1"/>
        <v>43395486.830000006</v>
      </c>
      <c r="E27" s="6">
        <f t="shared" si="0"/>
        <v>1944.2150402684565</v>
      </c>
      <c r="F27" s="8">
        <f t="shared" si="2"/>
        <v>0.35672938249854003</v>
      </c>
    </row>
    <row r="28" spans="1:6" x14ac:dyDescent="0.3">
      <c r="A28" s="4" t="s">
        <v>39</v>
      </c>
      <c r="B28" s="5">
        <v>2380</v>
      </c>
      <c r="C28" s="6">
        <v>4713535.75</v>
      </c>
      <c r="D28" s="6">
        <f t="shared" si="1"/>
        <v>48109022.580000006</v>
      </c>
      <c r="E28" s="6">
        <f t="shared" si="0"/>
        <v>1980.477205882353</v>
      </c>
      <c r="F28" s="8">
        <f t="shared" si="2"/>
        <v>-0.18644626582980006</v>
      </c>
    </row>
    <row r="29" spans="1:6" x14ac:dyDescent="0.3">
      <c r="A29" s="9" t="s">
        <v>40</v>
      </c>
      <c r="B29" s="10">
        <f>SUM(B5:B28)</f>
        <v>25008</v>
      </c>
      <c r="C29" s="11">
        <f>SUM(C5:C28)</f>
        <v>48109022.580000006</v>
      </c>
      <c r="D29" s="7"/>
      <c r="E29" s="7"/>
      <c r="F2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0" customWidth="1"/>
    <col min="2" max="2" width="10" customWidth="1"/>
    <col min="3" max="3" width="12" customWidth="1"/>
    <col min="4" max="4" width="15" customWidth="1"/>
    <col min="5" max="5" width="14" customWidth="1"/>
    <col min="6" max="6" width="15" customWidth="1"/>
    <col min="7" max="7" width="11" customWidth="1"/>
    <col min="8" max="8" width="15" customWidth="1"/>
  </cols>
  <sheetData>
    <row r="1" spans="1:8" ht="15.6" x14ac:dyDescent="0.3">
      <c r="A1" s="2" t="s">
        <v>41</v>
      </c>
    </row>
    <row r="2" spans="1:8" x14ac:dyDescent="0.3">
      <c r="A2" s="1" t="s">
        <v>42</v>
      </c>
    </row>
    <row r="4" spans="1:8" x14ac:dyDescent="0.3">
      <c r="A4" s="3" t="s">
        <v>43</v>
      </c>
      <c r="B4" s="3" t="s">
        <v>11</v>
      </c>
      <c r="C4" s="3" t="s">
        <v>44</v>
      </c>
      <c r="D4" s="3" t="s">
        <v>45</v>
      </c>
      <c r="E4" s="3" t="s">
        <v>46</v>
      </c>
      <c r="F4" s="3" t="s">
        <v>47</v>
      </c>
      <c r="G4" s="3" t="s">
        <v>48</v>
      </c>
      <c r="H4" s="3" t="s">
        <v>49</v>
      </c>
    </row>
    <row r="5" spans="1:8" x14ac:dyDescent="0.3">
      <c r="A5" s="4" t="s">
        <v>50</v>
      </c>
      <c r="B5" s="5">
        <v>7509</v>
      </c>
      <c r="C5" s="5">
        <v>9692</v>
      </c>
      <c r="D5" s="6">
        <v>16665748.18</v>
      </c>
      <c r="E5" s="6">
        <v>14481431.460000001</v>
      </c>
      <c r="F5" s="6">
        <f t="shared" ref="F5:F14" si="0">D5-E5</f>
        <v>2184316.7199999988</v>
      </c>
      <c r="G5" s="8">
        <f t="shared" ref="G5:G14" si="1">IFERROR(F5/D5,0)</f>
        <v>0.13106622615487035</v>
      </c>
      <c r="H5" s="8">
        <f>D5/SUM(D5:D14)</f>
        <v>0.3555538560566871</v>
      </c>
    </row>
    <row r="6" spans="1:8" x14ac:dyDescent="0.3">
      <c r="A6" s="4" t="s">
        <v>51</v>
      </c>
      <c r="B6" s="5">
        <v>3218</v>
      </c>
      <c r="C6" s="5">
        <v>3811</v>
      </c>
      <c r="D6" s="6">
        <v>12107045.41</v>
      </c>
      <c r="E6" s="6">
        <v>11071923.789999999</v>
      </c>
      <c r="F6" s="6">
        <f t="shared" si="0"/>
        <v>1035121.620000001</v>
      </c>
      <c r="G6" s="8">
        <f t="shared" si="1"/>
        <v>8.5497459119549216E-2</v>
      </c>
      <c r="H6" s="8">
        <f>D6/SUM(D5:D14)</f>
        <v>0.25829663537967329</v>
      </c>
    </row>
    <row r="7" spans="1:8" x14ac:dyDescent="0.3">
      <c r="A7" s="4" t="s">
        <v>52</v>
      </c>
      <c r="B7" s="5">
        <v>5237</v>
      </c>
      <c r="C7" s="5">
        <v>6577</v>
      </c>
      <c r="D7" s="6">
        <v>7492844.0499999998</v>
      </c>
      <c r="E7" s="6">
        <v>5931989.04</v>
      </c>
      <c r="F7" s="6">
        <f t="shared" si="0"/>
        <v>1560855.0099999998</v>
      </c>
      <c r="G7" s="8">
        <f t="shared" si="1"/>
        <v>0.20831275809083466</v>
      </c>
      <c r="H7" s="8">
        <f>D7/SUM(D5:D14)</f>
        <v>0.15985538519092782</v>
      </c>
    </row>
    <row r="8" spans="1:8" x14ac:dyDescent="0.3">
      <c r="A8" s="4" t="s">
        <v>53</v>
      </c>
      <c r="B8" s="5">
        <v>2955</v>
      </c>
      <c r="C8" s="5">
        <v>3542</v>
      </c>
      <c r="D8" s="6">
        <v>2606890.1</v>
      </c>
      <c r="E8" s="6">
        <v>2113467.31</v>
      </c>
      <c r="F8" s="6">
        <f t="shared" si="0"/>
        <v>493422.79000000004</v>
      </c>
      <c r="G8" s="8">
        <f t="shared" si="1"/>
        <v>0.18927640639703225</v>
      </c>
      <c r="H8" s="8">
        <f>D8/SUM(D5:D14)</f>
        <v>5.5616454620581138E-2</v>
      </c>
    </row>
    <row r="9" spans="1:8" x14ac:dyDescent="0.3">
      <c r="A9" s="4" t="s">
        <v>54</v>
      </c>
      <c r="B9" s="5">
        <v>4347</v>
      </c>
      <c r="C9" s="5">
        <v>5269</v>
      </c>
      <c r="D9" s="6">
        <v>2466146.98</v>
      </c>
      <c r="E9" s="6">
        <v>2004601.99</v>
      </c>
      <c r="F9" s="6">
        <f t="shared" si="0"/>
        <v>461544.99</v>
      </c>
      <c r="G9" s="8">
        <f t="shared" si="1"/>
        <v>0.18715226373085031</v>
      </c>
      <c r="H9" s="8">
        <f>D9/SUM(D5:D14)</f>
        <v>5.2613783604016605E-2</v>
      </c>
    </row>
    <row r="10" spans="1:8" x14ac:dyDescent="0.3">
      <c r="A10" s="4" t="s">
        <v>55</v>
      </c>
      <c r="B10" s="5">
        <v>6320</v>
      </c>
      <c r="C10" s="5">
        <v>8031</v>
      </c>
      <c r="D10" s="6">
        <v>1647454.27</v>
      </c>
      <c r="E10" s="6">
        <v>1090826.1000000001</v>
      </c>
      <c r="F10" s="6">
        <f t="shared" si="0"/>
        <v>556628.16999999993</v>
      </c>
      <c r="G10" s="8">
        <f t="shared" si="1"/>
        <v>0.33787169703957848</v>
      </c>
      <c r="H10" s="8">
        <f>D10/SUM(D5:D14)</f>
        <v>3.514746005093871E-2</v>
      </c>
    </row>
    <row r="11" spans="1:8" x14ac:dyDescent="0.3">
      <c r="A11" s="4" t="s">
        <v>56</v>
      </c>
      <c r="B11" s="5">
        <v>3561</v>
      </c>
      <c r="C11" s="5">
        <v>4307</v>
      </c>
      <c r="D11" s="6">
        <v>1372243.64</v>
      </c>
      <c r="E11" s="6">
        <v>1045864.4</v>
      </c>
      <c r="F11" s="6">
        <f t="shared" si="0"/>
        <v>326379.23999999987</v>
      </c>
      <c r="G11" s="8">
        <f t="shared" si="1"/>
        <v>0.23784350714862842</v>
      </c>
      <c r="H11" s="8">
        <f>D11/SUM(D5:D14)</f>
        <v>2.9276004436259537E-2</v>
      </c>
    </row>
    <row r="12" spans="1:8" x14ac:dyDescent="0.3">
      <c r="A12" s="4" t="s">
        <v>57</v>
      </c>
      <c r="B12" s="5">
        <v>6434</v>
      </c>
      <c r="C12" s="5">
        <v>8083</v>
      </c>
      <c r="D12" s="6">
        <v>1230883.9099999999</v>
      </c>
      <c r="E12" s="6">
        <v>874853.14</v>
      </c>
      <c r="F12" s="6">
        <f t="shared" si="0"/>
        <v>356030.7699999999</v>
      </c>
      <c r="G12" s="8">
        <f t="shared" si="1"/>
        <v>0.2892480493956574</v>
      </c>
      <c r="H12" s="8">
        <f>D12/SUM(D5:D14)</f>
        <v>2.6260178410942015E-2</v>
      </c>
    </row>
    <row r="13" spans="1:8" x14ac:dyDescent="0.3">
      <c r="A13" s="4" t="s">
        <v>58</v>
      </c>
      <c r="B13" s="5">
        <v>2903</v>
      </c>
      <c r="C13" s="5">
        <v>3481</v>
      </c>
      <c r="D13" s="6">
        <v>946298.38</v>
      </c>
      <c r="E13" s="6">
        <v>788573.4</v>
      </c>
      <c r="F13" s="6">
        <f t="shared" si="0"/>
        <v>157724.97999999998</v>
      </c>
      <c r="G13" s="8">
        <f t="shared" si="1"/>
        <v>0.16667573709679179</v>
      </c>
      <c r="H13" s="8">
        <f>D13/SUM(D5:D14)</f>
        <v>2.0188714863276915E-2</v>
      </c>
    </row>
    <row r="14" spans="1:8" x14ac:dyDescent="0.3">
      <c r="A14" s="4" t="s">
        <v>59</v>
      </c>
      <c r="B14" s="5">
        <v>2700</v>
      </c>
      <c r="C14" s="5">
        <v>3236</v>
      </c>
      <c r="D14" s="6">
        <v>337085.88</v>
      </c>
      <c r="E14" s="6">
        <v>291174.57</v>
      </c>
      <c r="F14" s="6">
        <f t="shared" si="0"/>
        <v>45911.31</v>
      </c>
      <c r="G14" s="8">
        <f t="shared" si="1"/>
        <v>0.13620063231364066</v>
      </c>
      <c r="H14" s="8">
        <f>D14/SUM(D5:D14)</f>
        <v>7.1915273866967611E-3</v>
      </c>
    </row>
    <row r="15" spans="1:8" x14ac:dyDescent="0.3">
      <c r="A15" s="9" t="s">
        <v>40</v>
      </c>
      <c r="B15" s="7"/>
      <c r="C15" s="7"/>
      <c r="D15" s="11">
        <f>SUM(D5:D14)</f>
        <v>46872640.800000004</v>
      </c>
      <c r="E15" s="7"/>
      <c r="F15" s="11">
        <f>SUM(F5:F14)</f>
        <v>7177935.5999999987</v>
      </c>
      <c r="G15" s="7"/>
      <c r="H15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6" customWidth="1"/>
    <col min="2" max="2" width="10" customWidth="1"/>
    <col min="3" max="4" width="16" customWidth="1"/>
  </cols>
  <sheetData>
    <row r="1" spans="1:4" ht="15.6" x14ac:dyDescent="0.3">
      <c r="A1" s="2" t="s">
        <v>60</v>
      </c>
    </row>
    <row r="2" spans="1:4" x14ac:dyDescent="0.3">
      <c r="A2" s="1" t="s">
        <v>61</v>
      </c>
    </row>
    <row r="4" spans="1:4" x14ac:dyDescent="0.3">
      <c r="A4" s="3" t="s">
        <v>62</v>
      </c>
      <c r="B4" s="3" t="s">
        <v>11</v>
      </c>
      <c r="C4" s="3" t="s">
        <v>63</v>
      </c>
      <c r="D4" s="3" t="s">
        <v>14</v>
      </c>
    </row>
    <row r="5" spans="1:4" x14ac:dyDescent="0.3">
      <c r="A5" s="4" t="s">
        <v>64</v>
      </c>
      <c r="B5" s="5">
        <v>13105</v>
      </c>
      <c r="C5" s="6">
        <v>25102484.719999999</v>
      </c>
      <c r="D5" s="6">
        <f>IFERROR(C5/B5,0)</f>
        <v>1915.4891049217854</v>
      </c>
    </row>
    <row r="6" spans="1:4" x14ac:dyDescent="0.3">
      <c r="A6" s="4" t="s">
        <v>65</v>
      </c>
      <c r="B6" s="5">
        <v>5391</v>
      </c>
      <c r="C6" s="6">
        <v>10288690.720000001</v>
      </c>
      <c r="D6" s="6">
        <f>IFERROR(C6/B6,0)</f>
        <v>1908.4939194954554</v>
      </c>
    </row>
    <row r="7" spans="1:4" x14ac:dyDescent="0.3">
      <c r="A7" s="4" t="s">
        <v>66</v>
      </c>
      <c r="B7" s="5">
        <v>3725</v>
      </c>
      <c r="C7" s="6">
        <v>7247818.7400000002</v>
      </c>
      <c r="D7" s="6">
        <f>IFERROR(C7/B7,0)</f>
        <v>1945.7231516778525</v>
      </c>
    </row>
    <row r="8" spans="1:4" x14ac:dyDescent="0.3">
      <c r="A8" s="4" t="s">
        <v>67</v>
      </c>
      <c r="B8" s="5">
        <v>2299</v>
      </c>
      <c r="C8" s="6">
        <v>4553125.9800000004</v>
      </c>
      <c r="D8" s="6">
        <f>IFERROR(C8/B8,0)</f>
        <v>1980.4810700304481</v>
      </c>
    </row>
    <row r="9" spans="1:4" x14ac:dyDescent="0.3">
      <c r="A9" s="4" t="s">
        <v>68</v>
      </c>
      <c r="B9" s="5">
        <v>488</v>
      </c>
      <c r="C9" s="6">
        <v>916902.42</v>
      </c>
      <c r="D9" s="6">
        <f>IFERROR(C9/B9,0)</f>
        <v>1878.8984016393445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402"/>
  <sheetViews>
    <sheetView zoomScaleNormal="100" workbookViewId="0">
      <pane ySplit="11" topLeftCell="A1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20" customWidth="1"/>
    <col min="3" max="3" width="8" customWidth="1"/>
    <col min="4" max="5" width="14" customWidth="1"/>
    <col min="6" max="6" width="12" customWidth="1"/>
    <col min="7" max="7" width="15" customWidth="1"/>
    <col min="8" max="8" width="16" customWidth="1"/>
    <col min="9" max="9" width="20" customWidth="1"/>
  </cols>
  <sheetData>
    <row r="1" spans="1:9" ht="15.6" x14ac:dyDescent="0.3">
      <c r="A1" s="2" t="s">
        <v>69</v>
      </c>
    </row>
    <row r="2" spans="1:9" x14ac:dyDescent="0.3">
      <c r="A2" s="1" t="s">
        <v>70</v>
      </c>
    </row>
    <row r="4" spans="1:9" x14ac:dyDescent="0.3">
      <c r="A4" s="12" t="s">
        <v>71</v>
      </c>
    </row>
    <row r="5" spans="1:9" x14ac:dyDescent="0.3">
      <c r="A5" s="3" t="s">
        <v>72</v>
      </c>
      <c r="B5" s="3" t="s">
        <v>4</v>
      </c>
      <c r="C5" s="3" t="s">
        <v>73</v>
      </c>
      <c r="D5" s="3" t="s">
        <v>74</v>
      </c>
    </row>
    <row r="6" spans="1:9" x14ac:dyDescent="0.3">
      <c r="A6" s="4" t="s">
        <v>75</v>
      </c>
      <c r="B6" s="5">
        <v>4014</v>
      </c>
      <c r="C6" s="6">
        <v>34639593.82</v>
      </c>
      <c r="D6" s="8">
        <f>B6/SUM(B6:B8)</f>
        <v>0.54206617150573932</v>
      </c>
    </row>
    <row r="7" spans="1:9" x14ac:dyDescent="0.3">
      <c r="A7" s="4" t="s">
        <v>76</v>
      </c>
      <c r="B7" s="5">
        <v>1491</v>
      </c>
      <c r="C7" s="6">
        <v>7216276.3200000003</v>
      </c>
      <c r="D7" s="8">
        <f>B7/SUM(B6:B8)</f>
        <v>0.20135043889264012</v>
      </c>
    </row>
    <row r="8" spans="1:9" x14ac:dyDescent="0.3">
      <c r="A8" s="4" t="s">
        <v>77</v>
      </c>
      <c r="B8" s="5">
        <v>1900</v>
      </c>
      <c r="C8" s="6">
        <v>6253152.4400000004</v>
      </c>
      <c r="D8" s="8">
        <f>B8/SUM(B6:B8)</f>
        <v>0.25658338960162053</v>
      </c>
    </row>
    <row r="10" spans="1:9" x14ac:dyDescent="0.3">
      <c r="A10" s="12" t="s">
        <v>78</v>
      </c>
    </row>
    <row r="11" spans="1:9" x14ac:dyDescent="0.3">
      <c r="A11" s="3" t="s">
        <v>79</v>
      </c>
      <c r="B11" s="3" t="s">
        <v>80</v>
      </c>
      <c r="C11" s="3" t="s">
        <v>81</v>
      </c>
      <c r="D11" s="3" t="s">
        <v>62</v>
      </c>
      <c r="E11" s="3" t="s">
        <v>82</v>
      </c>
      <c r="F11" s="3" t="s">
        <v>83</v>
      </c>
      <c r="G11" s="3" t="s">
        <v>84</v>
      </c>
      <c r="H11" s="3" t="s">
        <v>85</v>
      </c>
      <c r="I11" s="3" t="s">
        <v>72</v>
      </c>
    </row>
    <row r="12" spans="1:9" x14ac:dyDescent="0.3">
      <c r="A12">
        <v>5163</v>
      </c>
      <c r="B12" t="s">
        <v>86</v>
      </c>
      <c r="C12" t="s">
        <v>87</v>
      </c>
      <c r="D12" t="s">
        <v>64</v>
      </c>
      <c r="E12" t="s">
        <v>88</v>
      </c>
      <c r="F12" s="13">
        <v>1</v>
      </c>
      <c r="G12" s="14">
        <v>2712.11</v>
      </c>
      <c r="H12" s="13">
        <v>663</v>
      </c>
      <c r="I12" t="s">
        <v>77</v>
      </c>
    </row>
    <row r="13" spans="1:9" x14ac:dyDescent="0.3">
      <c r="A13">
        <v>8033</v>
      </c>
      <c r="B13" t="s">
        <v>89</v>
      </c>
      <c r="C13" t="s">
        <v>90</v>
      </c>
      <c r="D13" t="s">
        <v>66</v>
      </c>
      <c r="E13" t="s">
        <v>88</v>
      </c>
      <c r="F13" s="13">
        <v>1</v>
      </c>
      <c r="G13" s="14">
        <v>441.6</v>
      </c>
      <c r="H13" s="13">
        <v>663</v>
      </c>
      <c r="I13" t="s">
        <v>77</v>
      </c>
    </row>
    <row r="14" spans="1:9" x14ac:dyDescent="0.3">
      <c r="A14">
        <v>1149</v>
      </c>
      <c r="B14" t="s">
        <v>91</v>
      </c>
      <c r="C14" t="s">
        <v>92</v>
      </c>
      <c r="D14" t="s">
        <v>64</v>
      </c>
      <c r="E14" t="s">
        <v>93</v>
      </c>
      <c r="F14" s="13">
        <v>1</v>
      </c>
      <c r="G14" s="14">
        <v>1034.76</v>
      </c>
      <c r="H14" s="13">
        <v>658</v>
      </c>
      <c r="I14" t="s">
        <v>77</v>
      </c>
    </row>
    <row r="15" spans="1:9" x14ac:dyDescent="0.3">
      <c r="A15">
        <v>2735</v>
      </c>
      <c r="B15" t="s">
        <v>94</v>
      </c>
      <c r="C15" t="s">
        <v>95</v>
      </c>
      <c r="D15" t="s">
        <v>65</v>
      </c>
      <c r="E15" t="s">
        <v>93</v>
      </c>
      <c r="F15" s="13">
        <v>1</v>
      </c>
      <c r="G15" s="14">
        <v>344.84</v>
      </c>
      <c r="H15" s="13">
        <v>658</v>
      </c>
      <c r="I15" t="s">
        <v>77</v>
      </c>
    </row>
    <row r="16" spans="1:9" x14ac:dyDescent="0.3">
      <c r="A16">
        <v>7503</v>
      </c>
      <c r="B16" t="s">
        <v>96</v>
      </c>
      <c r="C16" t="s">
        <v>97</v>
      </c>
      <c r="D16" t="s">
        <v>65</v>
      </c>
      <c r="E16" t="s">
        <v>98</v>
      </c>
      <c r="F16" s="13">
        <v>1</v>
      </c>
      <c r="G16" s="14">
        <v>207.19</v>
      </c>
      <c r="H16" s="13">
        <v>651</v>
      </c>
      <c r="I16" t="s">
        <v>77</v>
      </c>
    </row>
    <row r="17" spans="1:9" x14ac:dyDescent="0.3">
      <c r="A17">
        <v>6777</v>
      </c>
      <c r="B17" t="s">
        <v>99</v>
      </c>
      <c r="C17" t="s">
        <v>100</v>
      </c>
      <c r="D17" t="s">
        <v>66</v>
      </c>
      <c r="E17" t="s">
        <v>101</v>
      </c>
      <c r="F17" s="13">
        <v>1</v>
      </c>
      <c r="G17" s="14">
        <v>742.09</v>
      </c>
      <c r="H17" s="13">
        <v>647</v>
      </c>
      <c r="I17" t="s">
        <v>77</v>
      </c>
    </row>
    <row r="18" spans="1:9" x14ac:dyDescent="0.3">
      <c r="A18">
        <v>1683</v>
      </c>
      <c r="B18" t="s">
        <v>102</v>
      </c>
      <c r="C18" t="s">
        <v>103</v>
      </c>
      <c r="D18" t="s">
        <v>67</v>
      </c>
      <c r="E18" t="s">
        <v>104</v>
      </c>
      <c r="F18" s="13">
        <v>1</v>
      </c>
      <c r="G18" s="14">
        <v>4562.17</v>
      </c>
      <c r="H18" s="13">
        <v>636</v>
      </c>
      <c r="I18" t="s">
        <v>77</v>
      </c>
    </row>
    <row r="19" spans="1:9" x14ac:dyDescent="0.3">
      <c r="A19">
        <v>8859</v>
      </c>
      <c r="B19" t="s">
        <v>105</v>
      </c>
      <c r="C19" t="s">
        <v>92</v>
      </c>
      <c r="D19" t="s">
        <v>64</v>
      </c>
      <c r="E19" t="s">
        <v>106</v>
      </c>
      <c r="F19" s="13">
        <v>1</v>
      </c>
      <c r="G19" s="14">
        <v>1612.21</v>
      </c>
      <c r="H19" s="13">
        <v>623</v>
      </c>
      <c r="I19" t="s">
        <v>77</v>
      </c>
    </row>
    <row r="20" spans="1:9" x14ac:dyDescent="0.3">
      <c r="A20">
        <v>4453</v>
      </c>
      <c r="B20" t="s">
        <v>107</v>
      </c>
      <c r="C20" t="s">
        <v>92</v>
      </c>
      <c r="D20" t="s">
        <v>64</v>
      </c>
      <c r="E20" t="s">
        <v>108</v>
      </c>
      <c r="F20" s="13">
        <v>1</v>
      </c>
      <c r="G20" s="14">
        <v>1105.05</v>
      </c>
      <c r="H20" s="13">
        <v>621</v>
      </c>
      <c r="I20" t="s">
        <v>77</v>
      </c>
    </row>
    <row r="21" spans="1:9" x14ac:dyDescent="0.3">
      <c r="A21">
        <v>8770</v>
      </c>
      <c r="B21" t="s">
        <v>109</v>
      </c>
      <c r="C21" t="s">
        <v>92</v>
      </c>
      <c r="D21" t="s">
        <v>64</v>
      </c>
      <c r="E21" t="s">
        <v>108</v>
      </c>
      <c r="F21" s="13">
        <v>1</v>
      </c>
      <c r="G21" s="14">
        <v>208.82</v>
      </c>
      <c r="H21" s="13">
        <v>621</v>
      </c>
      <c r="I21" t="s">
        <v>77</v>
      </c>
    </row>
    <row r="22" spans="1:9" x14ac:dyDescent="0.3">
      <c r="A22">
        <v>646</v>
      </c>
      <c r="B22" t="s">
        <v>110</v>
      </c>
      <c r="C22" t="s">
        <v>92</v>
      </c>
      <c r="D22" t="s">
        <v>64</v>
      </c>
      <c r="E22" t="s">
        <v>111</v>
      </c>
      <c r="F22" s="13">
        <v>1</v>
      </c>
      <c r="G22" s="14">
        <v>1681.01</v>
      </c>
      <c r="H22" s="13">
        <v>618</v>
      </c>
      <c r="I22" t="s">
        <v>77</v>
      </c>
    </row>
    <row r="23" spans="1:9" x14ac:dyDescent="0.3">
      <c r="A23">
        <v>2054</v>
      </c>
      <c r="B23" t="s">
        <v>112</v>
      </c>
      <c r="C23" t="s">
        <v>97</v>
      </c>
      <c r="D23" t="s">
        <v>65</v>
      </c>
      <c r="E23" t="s">
        <v>111</v>
      </c>
      <c r="F23" s="13">
        <v>1</v>
      </c>
      <c r="G23" s="14">
        <v>1761.43</v>
      </c>
      <c r="H23" s="13">
        <v>618</v>
      </c>
      <c r="I23" t="s">
        <v>77</v>
      </c>
    </row>
    <row r="24" spans="1:9" x14ac:dyDescent="0.3">
      <c r="A24">
        <v>5813</v>
      </c>
      <c r="B24" t="s">
        <v>113</v>
      </c>
      <c r="C24" t="s">
        <v>114</v>
      </c>
      <c r="D24" t="s">
        <v>66</v>
      </c>
      <c r="E24" t="s">
        <v>115</v>
      </c>
      <c r="F24" s="13">
        <v>1</v>
      </c>
      <c r="G24" s="14">
        <v>4915.8599999999997</v>
      </c>
      <c r="H24" s="13">
        <v>613</v>
      </c>
      <c r="I24" t="s">
        <v>77</v>
      </c>
    </row>
    <row r="25" spans="1:9" x14ac:dyDescent="0.3">
      <c r="A25">
        <v>1815</v>
      </c>
      <c r="B25" t="s">
        <v>116</v>
      </c>
      <c r="C25" t="s">
        <v>103</v>
      </c>
      <c r="D25" t="s">
        <v>67</v>
      </c>
      <c r="E25" t="s">
        <v>117</v>
      </c>
      <c r="F25" s="13">
        <v>1</v>
      </c>
      <c r="G25" s="14">
        <v>93.84</v>
      </c>
      <c r="H25" s="13">
        <v>610</v>
      </c>
      <c r="I25" t="s">
        <v>77</v>
      </c>
    </row>
    <row r="26" spans="1:9" x14ac:dyDescent="0.3">
      <c r="A26">
        <v>5671</v>
      </c>
      <c r="B26" t="s">
        <v>118</v>
      </c>
      <c r="C26" t="s">
        <v>97</v>
      </c>
      <c r="D26" t="s">
        <v>65</v>
      </c>
      <c r="E26" t="s">
        <v>119</v>
      </c>
      <c r="F26" s="13">
        <v>1</v>
      </c>
      <c r="G26" s="14">
        <v>269.16000000000003</v>
      </c>
      <c r="H26" s="13">
        <v>607</v>
      </c>
      <c r="I26" t="s">
        <v>77</v>
      </c>
    </row>
    <row r="27" spans="1:9" x14ac:dyDescent="0.3">
      <c r="A27">
        <v>5900</v>
      </c>
      <c r="B27" t="s">
        <v>120</v>
      </c>
      <c r="C27" t="s">
        <v>121</v>
      </c>
      <c r="D27" t="s">
        <v>67</v>
      </c>
      <c r="E27" t="s">
        <v>122</v>
      </c>
      <c r="F27" s="13">
        <v>1</v>
      </c>
      <c r="G27" s="14">
        <v>1149.74</v>
      </c>
      <c r="H27" s="13">
        <v>605</v>
      </c>
      <c r="I27" t="s">
        <v>77</v>
      </c>
    </row>
    <row r="28" spans="1:9" x14ac:dyDescent="0.3">
      <c r="A28">
        <v>3484</v>
      </c>
      <c r="B28" t="s">
        <v>116</v>
      </c>
      <c r="C28" t="s">
        <v>123</v>
      </c>
      <c r="D28" t="s">
        <v>65</v>
      </c>
      <c r="E28" t="s">
        <v>124</v>
      </c>
      <c r="F28" s="13">
        <v>1</v>
      </c>
      <c r="G28" s="14">
        <v>914.74</v>
      </c>
      <c r="H28" s="13">
        <v>603</v>
      </c>
      <c r="I28" t="s">
        <v>77</v>
      </c>
    </row>
    <row r="29" spans="1:9" x14ac:dyDescent="0.3">
      <c r="A29">
        <v>4116</v>
      </c>
      <c r="B29" t="s">
        <v>125</v>
      </c>
      <c r="C29" t="s">
        <v>87</v>
      </c>
      <c r="D29" t="s">
        <v>64</v>
      </c>
      <c r="E29" t="s">
        <v>124</v>
      </c>
      <c r="F29" s="13">
        <v>1</v>
      </c>
      <c r="G29" s="14">
        <v>320.08999999999997</v>
      </c>
      <c r="H29" s="13">
        <v>603</v>
      </c>
      <c r="I29" t="s">
        <v>77</v>
      </c>
    </row>
    <row r="30" spans="1:9" x14ac:dyDescent="0.3">
      <c r="A30">
        <v>2886</v>
      </c>
      <c r="B30" t="s">
        <v>126</v>
      </c>
      <c r="C30" t="s">
        <v>123</v>
      </c>
      <c r="D30" t="s">
        <v>65</v>
      </c>
      <c r="E30" t="s">
        <v>127</v>
      </c>
      <c r="F30" s="13">
        <v>3</v>
      </c>
      <c r="G30" s="14">
        <v>8478.32</v>
      </c>
      <c r="H30" s="13">
        <v>601</v>
      </c>
      <c r="I30" t="s">
        <v>77</v>
      </c>
    </row>
    <row r="31" spans="1:9" x14ac:dyDescent="0.3">
      <c r="A31">
        <v>874</v>
      </c>
      <c r="B31" t="s">
        <v>128</v>
      </c>
      <c r="C31" t="s">
        <v>92</v>
      </c>
      <c r="D31" t="s">
        <v>64</v>
      </c>
      <c r="E31" t="s">
        <v>129</v>
      </c>
      <c r="F31" s="13">
        <v>1</v>
      </c>
      <c r="G31" s="14">
        <v>2121.02</v>
      </c>
      <c r="H31" s="13">
        <v>600</v>
      </c>
      <c r="I31" t="s">
        <v>77</v>
      </c>
    </row>
    <row r="32" spans="1:9" x14ac:dyDescent="0.3">
      <c r="A32">
        <v>307</v>
      </c>
      <c r="B32" t="s">
        <v>130</v>
      </c>
      <c r="C32" t="s">
        <v>95</v>
      </c>
      <c r="D32" t="s">
        <v>65</v>
      </c>
      <c r="E32" t="s">
        <v>131</v>
      </c>
      <c r="F32" s="13">
        <v>1</v>
      </c>
      <c r="G32" s="14">
        <v>863.27</v>
      </c>
      <c r="H32" s="13">
        <v>598</v>
      </c>
      <c r="I32" t="s">
        <v>77</v>
      </c>
    </row>
    <row r="33" spans="1:9" x14ac:dyDescent="0.3">
      <c r="A33">
        <v>2766</v>
      </c>
      <c r="B33" t="s">
        <v>132</v>
      </c>
      <c r="C33" t="s">
        <v>133</v>
      </c>
      <c r="D33" t="s">
        <v>64</v>
      </c>
      <c r="E33" t="s">
        <v>134</v>
      </c>
      <c r="F33" s="13">
        <v>1</v>
      </c>
      <c r="G33" s="14">
        <v>1602.97</v>
      </c>
      <c r="H33" s="13">
        <v>591</v>
      </c>
      <c r="I33" t="s">
        <v>77</v>
      </c>
    </row>
    <row r="34" spans="1:9" x14ac:dyDescent="0.3">
      <c r="A34">
        <v>7291</v>
      </c>
      <c r="B34" t="s">
        <v>135</v>
      </c>
      <c r="C34" t="s">
        <v>92</v>
      </c>
      <c r="D34" t="s">
        <v>64</v>
      </c>
      <c r="E34" t="s">
        <v>134</v>
      </c>
      <c r="F34" s="13">
        <v>1</v>
      </c>
      <c r="G34" s="14">
        <v>1345.97</v>
      </c>
      <c r="H34" s="13">
        <v>591</v>
      </c>
      <c r="I34" t="s">
        <v>77</v>
      </c>
    </row>
    <row r="35" spans="1:9" x14ac:dyDescent="0.3">
      <c r="A35">
        <v>8526</v>
      </c>
      <c r="B35" t="s">
        <v>136</v>
      </c>
      <c r="C35" t="s">
        <v>137</v>
      </c>
      <c r="D35" t="s">
        <v>64</v>
      </c>
      <c r="E35" t="s">
        <v>134</v>
      </c>
      <c r="F35" s="13">
        <v>1</v>
      </c>
      <c r="G35" s="14">
        <v>2684.69</v>
      </c>
      <c r="H35" s="13">
        <v>591</v>
      </c>
      <c r="I35" t="s">
        <v>77</v>
      </c>
    </row>
    <row r="36" spans="1:9" x14ac:dyDescent="0.3">
      <c r="A36">
        <v>191</v>
      </c>
      <c r="B36" t="s">
        <v>138</v>
      </c>
      <c r="C36" t="s">
        <v>92</v>
      </c>
      <c r="D36" t="s">
        <v>64</v>
      </c>
      <c r="E36" t="s">
        <v>139</v>
      </c>
      <c r="F36" s="13">
        <v>1</v>
      </c>
      <c r="G36" s="14">
        <v>1766.56</v>
      </c>
      <c r="H36" s="13">
        <v>590</v>
      </c>
      <c r="I36" t="s">
        <v>77</v>
      </c>
    </row>
    <row r="37" spans="1:9" x14ac:dyDescent="0.3">
      <c r="A37">
        <v>3454</v>
      </c>
      <c r="B37" t="s">
        <v>140</v>
      </c>
      <c r="C37" t="s">
        <v>97</v>
      </c>
      <c r="D37" t="s">
        <v>65</v>
      </c>
      <c r="E37" t="s">
        <v>141</v>
      </c>
      <c r="F37" s="13">
        <v>1</v>
      </c>
      <c r="G37" s="14">
        <v>56.08</v>
      </c>
      <c r="H37" s="13">
        <v>588</v>
      </c>
      <c r="I37" t="s">
        <v>77</v>
      </c>
    </row>
    <row r="38" spans="1:9" x14ac:dyDescent="0.3">
      <c r="A38">
        <v>2613</v>
      </c>
      <c r="B38" t="s">
        <v>142</v>
      </c>
      <c r="C38" t="s">
        <v>92</v>
      </c>
      <c r="D38" t="s">
        <v>64</v>
      </c>
      <c r="E38" t="s">
        <v>143</v>
      </c>
      <c r="F38" s="13">
        <v>1</v>
      </c>
      <c r="G38" s="14">
        <v>1334.55</v>
      </c>
      <c r="H38" s="13">
        <v>585</v>
      </c>
      <c r="I38" t="s">
        <v>77</v>
      </c>
    </row>
    <row r="39" spans="1:9" x14ac:dyDescent="0.3">
      <c r="A39">
        <v>7723</v>
      </c>
      <c r="B39" t="s">
        <v>144</v>
      </c>
      <c r="C39" t="s">
        <v>92</v>
      </c>
      <c r="D39" t="s">
        <v>64</v>
      </c>
      <c r="E39" t="s">
        <v>143</v>
      </c>
      <c r="F39" s="13">
        <v>1</v>
      </c>
      <c r="G39" s="14">
        <v>1775.38</v>
      </c>
      <c r="H39" s="13">
        <v>585</v>
      </c>
      <c r="I39" t="s">
        <v>77</v>
      </c>
    </row>
    <row r="40" spans="1:9" x14ac:dyDescent="0.3">
      <c r="A40">
        <v>6664</v>
      </c>
      <c r="B40" t="s">
        <v>145</v>
      </c>
      <c r="C40" t="s">
        <v>137</v>
      </c>
      <c r="D40" t="s">
        <v>64</v>
      </c>
      <c r="E40" t="s">
        <v>146</v>
      </c>
      <c r="F40" s="13">
        <v>1</v>
      </c>
      <c r="G40" s="14">
        <v>1103.48</v>
      </c>
      <c r="H40" s="13">
        <v>582</v>
      </c>
      <c r="I40" t="s">
        <v>77</v>
      </c>
    </row>
    <row r="41" spans="1:9" x14ac:dyDescent="0.3">
      <c r="A41">
        <v>113</v>
      </c>
      <c r="B41" t="s">
        <v>147</v>
      </c>
      <c r="C41" t="s">
        <v>123</v>
      </c>
      <c r="D41" t="s">
        <v>65</v>
      </c>
      <c r="E41" t="s">
        <v>148</v>
      </c>
      <c r="F41" s="13">
        <v>1</v>
      </c>
      <c r="G41" s="14">
        <v>3135.23</v>
      </c>
      <c r="H41" s="13">
        <v>581</v>
      </c>
      <c r="I41" t="s">
        <v>77</v>
      </c>
    </row>
    <row r="42" spans="1:9" x14ac:dyDescent="0.3">
      <c r="A42">
        <v>6079</v>
      </c>
      <c r="B42" t="s">
        <v>149</v>
      </c>
      <c r="C42" t="s">
        <v>95</v>
      </c>
      <c r="D42" t="s">
        <v>65</v>
      </c>
      <c r="E42" t="s">
        <v>150</v>
      </c>
      <c r="F42" s="13">
        <v>1</v>
      </c>
      <c r="G42" s="14">
        <v>1859.22</v>
      </c>
      <c r="H42" s="13">
        <v>580</v>
      </c>
      <c r="I42" t="s">
        <v>77</v>
      </c>
    </row>
    <row r="43" spans="1:9" x14ac:dyDescent="0.3">
      <c r="A43">
        <v>8571</v>
      </c>
      <c r="B43" t="s">
        <v>151</v>
      </c>
      <c r="C43" t="s">
        <v>92</v>
      </c>
      <c r="D43" t="s">
        <v>64</v>
      </c>
      <c r="E43" t="s">
        <v>152</v>
      </c>
      <c r="F43" s="13">
        <v>1</v>
      </c>
      <c r="G43" s="14">
        <v>254.61</v>
      </c>
      <c r="H43" s="13">
        <v>579</v>
      </c>
      <c r="I43" t="s">
        <v>77</v>
      </c>
    </row>
    <row r="44" spans="1:9" x14ac:dyDescent="0.3">
      <c r="A44">
        <v>8772</v>
      </c>
      <c r="B44" t="s">
        <v>153</v>
      </c>
      <c r="C44" t="s">
        <v>92</v>
      </c>
      <c r="D44" t="s">
        <v>64</v>
      </c>
      <c r="E44" t="s">
        <v>154</v>
      </c>
      <c r="F44" s="13">
        <v>1</v>
      </c>
      <c r="G44" s="14">
        <v>244.38</v>
      </c>
      <c r="H44" s="13">
        <v>578</v>
      </c>
      <c r="I44" t="s">
        <v>77</v>
      </c>
    </row>
    <row r="45" spans="1:9" x14ac:dyDescent="0.3">
      <c r="A45">
        <v>2814</v>
      </c>
      <c r="B45" t="s">
        <v>155</v>
      </c>
      <c r="C45" t="s">
        <v>156</v>
      </c>
      <c r="D45" t="s">
        <v>68</v>
      </c>
      <c r="E45" t="s">
        <v>157</v>
      </c>
      <c r="F45" s="13">
        <v>1</v>
      </c>
      <c r="G45" s="14">
        <v>2520.71</v>
      </c>
      <c r="H45" s="13">
        <v>577</v>
      </c>
      <c r="I45" t="s">
        <v>77</v>
      </c>
    </row>
    <row r="46" spans="1:9" x14ac:dyDescent="0.3">
      <c r="A46">
        <v>4992</v>
      </c>
      <c r="B46" t="s">
        <v>158</v>
      </c>
      <c r="C46" t="s">
        <v>92</v>
      </c>
      <c r="D46" t="s">
        <v>64</v>
      </c>
      <c r="E46" t="s">
        <v>159</v>
      </c>
      <c r="F46" s="13">
        <v>1</v>
      </c>
      <c r="G46" s="14">
        <v>1988.57</v>
      </c>
      <c r="H46" s="13">
        <v>576</v>
      </c>
      <c r="I46" t="s">
        <v>77</v>
      </c>
    </row>
    <row r="47" spans="1:9" x14ac:dyDescent="0.3">
      <c r="A47">
        <v>752</v>
      </c>
      <c r="B47" t="s">
        <v>160</v>
      </c>
      <c r="C47" t="s">
        <v>92</v>
      </c>
      <c r="D47" t="s">
        <v>64</v>
      </c>
      <c r="E47" t="s">
        <v>161</v>
      </c>
      <c r="F47" s="13">
        <v>1</v>
      </c>
      <c r="G47" s="14">
        <v>2666.95</v>
      </c>
      <c r="H47" s="13">
        <v>575</v>
      </c>
      <c r="I47" t="s">
        <v>77</v>
      </c>
    </row>
    <row r="48" spans="1:9" x14ac:dyDescent="0.3">
      <c r="A48">
        <v>2951</v>
      </c>
      <c r="B48" t="s">
        <v>162</v>
      </c>
      <c r="C48" t="s">
        <v>92</v>
      </c>
      <c r="D48" t="s">
        <v>64</v>
      </c>
      <c r="E48" t="s">
        <v>161</v>
      </c>
      <c r="F48" s="13">
        <v>1</v>
      </c>
      <c r="G48" s="14">
        <v>3362.73</v>
      </c>
      <c r="H48" s="13">
        <v>575</v>
      </c>
      <c r="I48" t="s">
        <v>77</v>
      </c>
    </row>
    <row r="49" spans="1:9" x14ac:dyDescent="0.3">
      <c r="A49">
        <v>5787</v>
      </c>
      <c r="B49" t="s">
        <v>163</v>
      </c>
      <c r="C49" t="s">
        <v>90</v>
      </c>
      <c r="D49" t="s">
        <v>66</v>
      </c>
      <c r="E49" t="s">
        <v>164</v>
      </c>
      <c r="F49" s="13">
        <v>1</v>
      </c>
      <c r="G49" s="14">
        <v>3599.84</v>
      </c>
      <c r="H49" s="13">
        <v>574</v>
      </c>
      <c r="I49" t="s">
        <v>77</v>
      </c>
    </row>
    <row r="50" spans="1:9" x14ac:dyDescent="0.3">
      <c r="A50">
        <v>8404</v>
      </c>
      <c r="B50" t="s">
        <v>165</v>
      </c>
      <c r="C50" t="s">
        <v>100</v>
      </c>
      <c r="D50" t="s">
        <v>66</v>
      </c>
      <c r="E50" t="s">
        <v>166</v>
      </c>
      <c r="F50" s="13">
        <v>1</v>
      </c>
      <c r="G50" s="14">
        <v>2547.38</v>
      </c>
      <c r="H50" s="13">
        <v>573</v>
      </c>
      <c r="I50" t="s">
        <v>77</v>
      </c>
    </row>
    <row r="51" spans="1:9" x14ac:dyDescent="0.3">
      <c r="A51">
        <v>3140</v>
      </c>
      <c r="B51" t="s">
        <v>167</v>
      </c>
      <c r="C51" t="s">
        <v>137</v>
      </c>
      <c r="D51" t="s">
        <v>64</v>
      </c>
      <c r="E51" t="s">
        <v>168</v>
      </c>
      <c r="F51" s="13">
        <v>1</v>
      </c>
      <c r="G51" s="14">
        <v>892.91</v>
      </c>
      <c r="H51" s="13">
        <v>571</v>
      </c>
      <c r="I51" t="s">
        <v>77</v>
      </c>
    </row>
    <row r="52" spans="1:9" x14ac:dyDescent="0.3">
      <c r="A52">
        <v>7514</v>
      </c>
      <c r="B52" t="s">
        <v>169</v>
      </c>
      <c r="C52" t="s">
        <v>133</v>
      </c>
      <c r="D52" t="s">
        <v>64</v>
      </c>
      <c r="E52" t="s">
        <v>170</v>
      </c>
      <c r="F52" s="13">
        <v>1</v>
      </c>
      <c r="G52" s="14">
        <v>392.19</v>
      </c>
      <c r="H52" s="13">
        <v>570</v>
      </c>
      <c r="I52" t="s">
        <v>77</v>
      </c>
    </row>
    <row r="53" spans="1:9" x14ac:dyDescent="0.3">
      <c r="A53">
        <v>8801</v>
      </c>
      <c r="B53" t="s">
        <v>171</v>
      </c>
      <c r="C53" t="s">
        <v>87</v>
      </c>
      <c r="D53" t="s">
        <v>64</v>
      </c>
      <c r="E53" t="s">
        <v>170</v>
      </c>
      <c r="F53" s="13">
        <v>1</v>
      </c>
      <c r="G53" s="14">
        <v>2828.94</v>
      </c>
      <c r="H53" s="13">
        <v>570</v>
      </c>
      <c r="I53" t="s">
        <v>77</v>
      </c>
    </row>
    <row r="54" spans="1:9" x14ac:dyDescent="0.3">
      <c r="A54">
        <v>3873</v>
      </c>
      <c r="B54" t="s">
        <v>172</v>
      </c>
      <c r="C54" t="s">
        <v>95</v>
      </c>
      <c r="D54" t="s">
        <v>65</v>
      </c>
      <c r="E54" t="s">
        <v>173</v>
      </c>
      <c r="F54" s="13">
        <v>1</v>
      </c>
      <c r="G54" s="14">
        <v>3724.77</v>
      </c>
      <c r="H54" s="13">
        <v>568</v>
      </c>
      <c r="I54" t="s">
        <v>77</v>
      </c>
    </row>
    <row r="55" spans="1:9" x14ac:dyDescent="0.3">
      <c r="A55">
        <v>3962</v>
      </c>
      <c r="B55" t="s">
        <v>109</v>
      </c>
      <c r="C55" t="s">
        <v>92</v>
      </c>
      <c r="D55" t="s">
        <v>64</v>
      </c>
      <c r="E55" t="s">
        <v>174</v>
      </c>
      <c r="F55" s="13">
        <v>1</v>
      </c>
      <c r="G55" s="14">
        <v>6468.67</v>
      </c>
      <c r="H55" s="13">
        <v>564</v>
      </c>
      <c r="I55" t="s">
        <v>77</v>
      </c>
    </row>
    <row r="56" spans="1:9" x14ac:dyDescent="0.3">
      <c r="A56">
        <v>5436</v>
      </c>
      <c r="B56" t="s">
        <v>175</v>
      </c>
      <c r="C56" t="s">
        <v>137</v>
      </c>
      <c r="D56" t="s">
        <v>64</v>
      </c>
      <c r="E56" t="s">
        <v>174</v>
      </c>
      <c r="F56" s="13">
        <v>2</v>
      </c>
      <c r="G56" s="14">
        <v>1101.6500000000001</v>
      </c>
      <c r="H56" s="13">
        <v>564</v>
      </c>
      <c r="I56" t="s">
        <v>77</v>
      </c>
    </row>
    <row r="57" spans="1:9" x14ac:dyDescent="0.3">
      <c r="A57">
        <v>7121</v>
      </c>
      <c r="B57" t="s">
        <v>176</v>
      </c>
      <c r="C57" t="s">
        <v>123</v>
      </c>
      <c r="D57" t="s">
        <v>65</v>
      </c>
      <c r="E57" t="s">
        <v>177</v>
      </c>
      <c r="F57" s="13">
        <v>1</v>
      </c>
      <c r="G57" s="14">
        <v>642.26</v>
      </c>
      <c r="H57" s="13">
        <v>562</v>
      </c>
      <c r="I57" t="s">
        <v>77</v>
      </c>
    </row>
    <row r="58" spans="1:9" x14ac:dyDescent="0.3">
      <c r="A58">
        <v>4765</v>
      </c>
      <c r="B58" t="s">
        <v>178</v>
      </c>
      <c r="C58" t="s">
        <v>92</v>
      </c>
      <c r="D58" t="s">
        <v>64</v>
      </c>
      <c r="E58" t="s">
        <v>179</v>
      </c>
      <c r="F58" s="13">
        <v>1</v>
      </c>
      <c r="G58" s="14">
        <v>1106.54</v>
      </c>
      <c r="H58" s="13">
        <v>560</v>
      </c>
      <c r="I58" t="s">
        <v>77</v>
      </c>
    </row>
    <row r="59" spans="1:9" x14ac:dyDescent="0.3">
      <c r="A59">
        <v>4012</v>
      </c>
      <c r="B59" t="s">
        <v>180</v>
      </c>
      <c r="C59" t="s">
        <v>156</v>
      </c>
      <c r="D59" t="s">
        <v>68</v>
      </c>
      <c r="E59" t="s">
        <v>181</v>
      </c>
      <c r="F59" s="13">
        <v>2</v>
      </c>
      <c r="G59" s="14">
        <v>4698.3999999999996</v>
      </c>
      <c r="H59" s="13">
        <v>559</v>
      </c>
      <c r="I59" t="s">
        <v>77</v>
      </c>
    </row>
    <row r="60" spans="1:9" x14ac:dyDescent="0.3">
      <c r="A60">
        <v>6586</v>
      </c>
      <c r="B60" t="s">
        <v>182</v>
      </c>
      <c r="C60" t="s">
        <v>103</v>
      </c>
      <c r="D60" t="s">
        <v>67</v>
      </c>
      <c r="E60" t="s">
        <v>181</v>
      </c>
      <c r="F60" s="13">
        <v>1</v>
      </c>
      <c r="G60" s="14">
        <v>1087.29</v>
      </c>
      <c r="H60" s="13">
        <v>559</v>
      </c>
      <c r="I60" t="s">
        <v>77</v>
      </c>
    </row>
    <row r="61" spans="1:9" x14ac:dyDescent="0.3">
      <c r="A61">
        <v>4986</v>
      </c>
      <c r="B61" t="s">
        <v>183</v>
      </c>
      <c r="C61" t="s">
        <v>90</v>
      </c>
      <c r="D61" t="s">
        <v>66</v>
      </c>
      <c r="E61" t="s">
        <v>184</v>
      </c>
      <c r="F61" s="13">
        <v>1</v>
      </c>
      <c r="G61" s="14">
        <v>3098.74</v>
      </c>
      <c r="H61" s="13">
        <v>558</v>
      </c>
      <c r="I61" t="s">
        <v>77</v>
      </c>
    </row>
    <row r="62" spans="1:9" x14ac:dyDescent="0.3">
      <c r="A62">
        <v>122</v>
      </c>
      <c r="B62" t="s">
        <v>185</v>
      </c>
      <c r="C62" t="s">
        <v>103</v>
      </c>
      <c r="D62" t="s">
        <v>67</v>
      </c>
      <c r="E62" t="s">
        <v>186</v>
      </c>
      <c r="F62" s="13">
        <v>1</v>
      </c>
      <c r="G62" s="14">
        <v>1191.8800000000001</v>
      </c>
      <c r="H62" s="13">
        <v>557</v>
      </c>
      <c r="I62" t="s">
        <v>77</v>
      </c>
    </row>
    <row r="63" spans="1:9" x14ac:dyDescent="0.3">
      <c r="A63">
        <v>5693</v>
      </c>
      <c r="B63" t="s">
        <v>187</v>
      </c>
      <c r="C63" t="s">
        <v>97</v>
      </c>
      <c r="D63" t="s">
        <v>65</v>
      </c>
      <c r="E63" t="s">
        <v>188</v>
      </c>
      <c r="F63" s="13">
        <v>1</v>
      </c>
      <c r="G63" s="14">
        <v>7201.65</v>
      </c>
      <c r="H63" s="13">
        <v>555</v>
      </c>
      <c r="I63" t="s">
        <v>77</v>
      </c>
    </row>
    <row r="64" spans="1:9" x14ac:dyDescent="0.3">
      <c r="A64">
        <v>928</v>
      </c>
      <c r="B64" t="s">
        <v>189</v>
      </c>
      <c r="C64" t="s">
        <v>87</v>
      </c>
      <c r="D64" t="s">
        <v>64</v>
      </c>
      <c r="E64" t="s">
        <v>190</v>
      </c>
      <c r="F64" s="13">
        <v>2</v>
      </c>
      <c r="G64" s="14">
        <v>13169.19</v>
      </c>
      <c r="H64" s="13">
        <v>553</v>
      </c>
      <c r="I64" t="s">
        <v>77</v>
      </c>
    </row>
    <row r="65" spans="1:9" x14ac:dyDescent="0.3">
      <c r="A65">
        <v>5222</v>
      </c>
      <c r="B65" t="s">
        <v>116</v>
      </c>
      <c r="C65" t="s">
        <v>92</v>
      </c>
      <c r="D65" t="s">
        <v>64</v>
      </c>
      <c r="E65" t="s">
        <v>190</v>
      </c>
      <c r="F65" s="13">
        <v>1</v>
      </c>
      <c r="G65" s="14">
        <v>3106.09</v>
      </c>
      <c r="H65" s="13">
        <v>553</v>
      </c>
      <c r="I65" t="s">
        <v>77</v>
      </c>
    </row>
    <row r="66" spans="1:9" x14ac:dyDescent="0.3">
      <c r="A66">
        <v>6459</v>
      </c>
      <c r="B66" t="s">
        <v>191</v>
      </c>
      <c r="C66" t="s">
        <v>92</v>
      </c>
      <c r="D66" t="s">
        <v>64</v>
      </c>
      <c r="E66" t="s">
        <v>192</v>
      </c>
      <c r="F66" s="13">
        <v>1</v>
      </c>
      <c r="G66" s="14">
        <v>807.1</v>
      </c>
      <c r="H66" s="13">
        <v>552</v>
      </c>
      <c r="I66" t="s">
        <v>77</v>
      </c>
    </row>
    <row r="67" spans="1:9" x14ac:dyDescent="0.3">
      <c r="A67">
        <v>1938</v>
      </c>
      <c r="B67" t="s">
        <v>193</v>
      </c>
      <c r="C67" t="s">
        <v>123</v>
      </c>
      <c r="D67" t="s">
        <v>65</v>
      </c>
      <c r="E67" t="s">
        <v>194</v>
      </c>
      <c r="F67" s="13">
        <v>1</v>
      </c>
      <c r="G67" s="14">
        <v>3172.23</v>
      </c>
      <c r="H67" s="13">
        <v>551</v>
      </c>
      <c r="I67" t="s">
        <v>77</v>
      </c>
    </row>
    <row r="68" spans="1:9" x14ac:dyDescent="0.3">
      <c r="A68">
        <v>8595</v>
      </c>
      <c r="B68" t="s">
        <v>195</v>
      </c>
      <c r="C68" t="s">
        <v>87</v>
      </c>
      <c r="D68" t="s">
        <v>64</v>
      </c>
      <c r="E68" t="s">
        <v>196</v>
      </c>
      <c r="F68" s="13">
        <v>1</v>
      </c>
      <c r="G68" s="14">
        <v>468.47</v>
      </c>
      <c r="H68" s="13">
        <v>550</v>
      </c>
      <c r="I68" t="s">
        <v>77</v>
      </c>
    </row>
    <row r="69" spans="1:9" x14ac:dyDescent="0.3">
      <c r="A69">
        <v>6244</v>
      </c>
      <c r="B69" t="s">
        <v>197</v>
      </c>
      <c r="C69" t="s">
        <v>92</v>
      </c>
      <c r="D69" t="s">
        <v>64</v>
      </c>
      <c r="E69" t="s">
        <v>198</v>
      </c>
      <c r="F69" s="13">
        <v>1</v>
      </c>
      <c r="G69" s="14">
        <v>635.17999999999995</v>
      </c>
      <c r="H69" s="13">
        <v>547</v>
      </c>
      <c r="I69" t="s">
        <v>77</v>
      </c>
    </row>
    <row r="70" spans="1:9" x14ac:dyDescent="0.3">
      <c r="A70">
        <v>629</v>
      </c>
      <c r="B70" t="s">
        <v>199</v>
      </c>
      <c r="C70" t="s">
        <v>133</v>
      </c>
      <c r="D70" t="s">
        <v>64</v>
      </c>
      <c r="E70" t="s">
        <v>200</v>
      </c>
      <c r="F70" s="13">
        <v>1</v>
      </c>
      <c r="G70" s="14">
        <v>2246.37</v>
      </c>
      <c r="H70" s="13">
        <v>544</v>
      </c>
      <c r="I70" t="s">
        <v>77</v>
      </c>
    </row>
    <row r="71" spans="1:9" x14ac:dyDescent="0.3">
      <c r="A71">
        <v>7060</v>
      </c>
      <c r="B71" t="s">
        <v>201</v>
      </c>
      <c r="C71" t="s">
        <v>133</v>
      </c>
      <c r="D71" t="s">
        <v>64</v>
      </c>
      <c r="E71" t="s">
        <v>200</v>
      </c>
      <c r="F71" s="13">
        <v>1</v>
      </c>
      <c r="G71" s="14">
        <v>1540.13</v>
      </c>
      <c r="H71" s="13">
        <v>544</v>
      </c>
      <c r="I71" t="s">
        <v>77</v>
      </c>
    </row>
    <row r="72" spans="1:9" x14ac:dyDescent="0.3">
      <c r="A72">
        <v>2578</v>
      </c>
      <c r="B72" t="s">
        <v>202</v>
      </c>
      <c r="C72" t="s">
        <v>90</v>
      </c>
      <c r="D72" t="s">
        <v>66</v>
      </c>
      <c r="E72" t="s">
        <v>203</v>
      </c>
      <c r="F72" s="13">
        <v>1</v>
      </c>
      <c r="G72" s="14">
        <v>807.94</v>
      </c>
      <c r="H72" s="13">
        <v>542</v>
      </c>
      <c r="I72" t="s">
        <v>77</v>
      </c>
    </row>
    <row r="73" spans="1:9" x14ac:dyDescent="0.3">
      <c r="A73">
        <v>3763</v>
      </c>
      <c r="B73" t="s">
        <v>204</v>
      </c>
      <c r="C73" t="s">
        <v>92</v>
      </c>
      <c r="D73" t="s">
        <v>64</v>
      </c>
      <c r="E73" t="s">
        <v>203</v>
      </c>
      <c r="F73" s="13">
        <v>1</v>
      </c>
      <c r="G73" s="14">
        <v>1183.32</v>
      </c>
      <c r="H73" s="13">
        <v>542</v>
      </c>
      <c r="I73" t="s">
        <v>77</v>
      </c>
    </row>
    <row r="74" spans="1:9" x14ac:dyDescent="0.3">
      <c r="A74">
        <v>5254</v>
      </c>
      <c r="B74" t="s">
        <v>205</v>
      </c>
      <c r="C74" t="s">
        <v>92</v>
      </c>
      <c r="D74" t="s">
        <v>64</v>
      </c>
      <c r="E74" t="s">
        <v>206</v>
      </c>
      <c r="F74" s="13">
        <v>1</v>
      </c>
      <c r="G74" s="14">
        <v>640.72</v>
      </c>
      <c r="H74" s="13">
        <v>540</v>
      </c>
      <c r="I74" t="s">
        <v>77</v>
      </c>
    </row>
    <row r="75" spans="1:9" x14ac:dyDescent="0.3">
      <c r="A75">
        <v>8745</v>
      </c>
      <c r="B75" t="s">
        <v>207</v>
      </c>
      <c r="C75" t="s">
        <v>137</v>
      </c>
      <c r="D75" t="s">
        <v>64</v>
      </c>
      <c r="E75" t="s">
        <v>206</v>
      </c>
      <c r="F75" s="13">
        <v>1</v>
      </c>
      <c r="G75" s="14">
        <v>1344.25</v>
      </c>
      <c r="H75" s="13">
        <v>540</v>
      </c>
      <c r="I75" t="s">
        <v>77</v>
      </c>
    </row>
    <row r="76" spans="1:9" x14ac:dyDescent="0.3">
      <c r="A76">
        <v>1766</v>
      </c>
      <c r="B76" t="s">
        <v>208</v>
      </c>
      <c r="C76" t="s">
        <v>123</v>
      </c>
      <c r="D76" t="s">
        <v>65</v>
      </c>
      <c r="E76" t="s">
        <v>209</v>
      </c>
      <c r="F76" s="13">
        <v>1</v>
      </c>
      <c r="G76" s="14">
        <v>2839.17</v>
      </c>
      <c r="H76" s="13">
        <v>539</v>
      </c>
      <c r="I76" t="s">
        <v>77</v>
      </c>
    </row>
    <row r="77" spans="1:9" x14ac:dyDescent="0.3">
      <c r="A77">
        <v>5849</v>
      </c>
      <c r="B77" t="s">
        <v>210</v>
      </c>
      <c r="C77" t="s">
        <v>92</v>
      </c>
      <c r="D77" t="s">
        <v>64</v>
      </c>
      <c r="E77" t="s">
        <v>211</v>
      </c>
      <c r="F77" s="13">
        <v>1</v>
      </c>
      <c r="G77" s="14">
        <v>3836.19</v>
      </c>
      <c r="H77" s="13">
        <v>538</v>
      </c>
      <c r="I77" t="s">
        <v>77</v>
      </c>
    </row>
    <row r="78" spans="1:9" x14ac:dyDescent="0.3">
      <c r="A78">
        <v>7548</v>
      </c>
      <c r="B78" t="s">
        <v>212</v>
      </c>
      <c r="C78" t="s">
        <v>100</v>
      </c>
      <c r="D78" t="s">
        <v>66</v>
      </c>
      <c r="E78" t="s">
        <v>211</v>
      </c>
      <c r="F78" s="13">
        <v>1</v>
      </c>
      <c r="G78" s="14">
        <v>707.92</v>
      </c>
      <c r="H78" s="13">
        <v>538</v>
      </c>
      <c r="I78" t="s">
        <v>77</v>
      </c>
    </row>
    <row r="79" spans="1:9" x14ac:dyDescent="0.3">
      <c r="A79">
        <v>1631</v>
      </c>
      <c r="B79" t="s">
        <v>213</v>
      </c>
      <c r="C79" t="s">
        <v>137</v>
      </c>
      <c r="D79" t="s">
        <v>64</v>
      </c>
      <c r="E79" t="s">
        <v>214</v>
      </c>
      <c r="F79" s="13">
        <v>1</v>
      </c>
      <c r="G79" s="14">
        <v>957.25</v>
      </c>
      <c r="H79" s="13">
        <v>537</v>
      </c>
      <c r="I79" t="s">
        <v>77</v>
      </c>
    </row>
    <row r="80" spans="1:9" x14ac:dyDescent="0.3">
      <c r="A80">
        <v>7580</v>
      </c>
      <c r="B80" t="s">
        <v>215</v>
      </c>
      <c r="C80" t="s">
        <v>121</v>
      </c>
      <c r="D80" t="s">
        <v>67</v>
      </c>
      <c r="E80" t="s">
        <v>216</v>
      </c>
      <c r="F80" s="13">
        <v>1</v>
      </c>
      <c r="G80" s="14">
        <v>578.23</v>
      </c>
      <c r="H80" s="13">
        <v>536</v>
      </c>
      <c r="I80" t="s">
        <v>77</v>
      </c>
    </row>
    <row r="81" spans="1:9" x14ac:dyDescent="0.3">
      <c r="A81">
        <v>1110</v>
      </c>
      <c r="B81" t="s">
        <v>217</v>
      </c>
      <c r="C81" t="s">
        <v>123</v>
      </c>
      <c r="D81" t="s">
        <v>65</v>
      </c>
      <c r="E81" t="s">
        <v>218</v>
      </c>
      <c r="F81" s="13">
        <v>1</v>
      </c>
      <c r="G81" s="14">
        <v>5577.01</v>
      </c>
      <c r="H81" s="13">
        <v>535</v>
      </c>
      <c r="I81" t="s">
        <v>77</v>
      </c>
    </row>
    <row r="82" spans="1:9" x14ac:dyDescent="0.3">
      <c r="A82">
        <v>1401</v>
      </c>
      <c r="B82" t="s">
        <v>219</v>
      </c>
      <c r="C82" t="s">
        <v>137</v>
      </c>
      <c r="D82" t="s">
        <v>64</v>
      </c>
      <c r="E82" t="s">
        <v>218</v>
      </c>
      <c r="F82" s="13">
        <v>1</v>
      </c>
      <c r="G82" s="14">
        <v>419.92</v>
      </c>
      <c r="H82" s="13">
        <v>535</v>
      </c>
      <c r="I82" t="s">
        <v>77</v>
      </c>
    </row>
    <row r="83" spans="1:9" x14ac:dyDescent="0.3">
      <c r="A83">
        <v>1406</v>
      </c>
      <c r="B83" t="s">
        <v>220</v>
      </c>
      <c r="C83" t="s">
        <v>137</v>
      </c>
      <c r="D83" t="s">
        <v>64</v>
      </c>
      <c r="E83" t="s">
        <v>218</v>
      </c>
      <c r="F83" s="13">
        <v>1</v>
      </c>
      <c r="G83" s="14">
        <v>1990.94</v>
      </c>
      <c r="H83" s="13">
        <v>535</v>
      </c>
      <c r="I83" t="s">
        <v>77</v>
      </c>
    </row>
    <row r="84" spans="1:9" x14ac:dyDescent="0.3">
      <c r="A84">
        <v>1776</v>
      </c>
      <c r="B84" t="s">
        <v>221</v>
      </c>
      <c r="C84" t="s">
        <v>92</v>
      </c>
      <c r="D84" t="s">
        <v>64</v>
      </c>
      <c r="E84" t="s">
        <v>218</v>
      </c>
      <c r="F84" s="13">
        <v>1</v>
      </c>
      <c r="G84" s="14">
        <v>7398.13</v>
      </c>
      <c r="H84" s="13">
        <v>535</v>
      </c>
      <c r="I84" t="s">
        <v>77</v>
      </c>
    </row>
    <row r="85" spans="1:9" x14ac:dyDescent="0.3">
      <c r="A85">
        <v>7217</v>
      </c>
      <c r="B85" t="s">
        <v>222</v>
      </c>
      <c r="C85" t="s">
        <v>137</v>
      </c>
      <c r="D85" t="s">
        <v>64</v>
      </c>
      <c r="E85" t="s">
        <v>218</v>
      </c>
      <c r="F85" s="13">
        <v>1</v>
      </c>
      <c r="G85" s="14">
        <v>556.63</v>
      </c>
      <c r="H85" s="13">
        <v>535</v>
      </c>
      <c r="I85" t="s">
        <v>77</v>
      </c>
    </row>
    <row r="86" spans="1:9" x14ac:dyDescent="0.3">
      <c r="A86">
        <v>8032</v>
      </c>
      <c r="B86" t="s">
        <v>223</v>
      </c>
      <c r="C86" t="s">
        <v>92</v>
      </c>
      <c r="D86" t="s">
        <v>64</v>
      </c>
      <c r="E86" t="s">
        <v>224</v>
      </c>
      <c r="F86" s="13">
        <v>1</v>
      </c>
      <c r="G86" s="14">
        <v>1510.34</v>
      </c>
      <c r="H86" s="13">
        <v>533</v>
      </c>
      <c r="I86" t="s">
        <v>77</v>
      </c>
    </row>
    <row r="87" spans="1:9" x14ac:dyDescent="0.3">
      <c r="A87">
        <v>8827</v>
      </c>
      <c r="B87" t="s">
        <v>225</v>
      </c>
      <c r="C87" t="s">
        <v>114</v>
      </c>
      <c r="D87" t="s">
        <v>66</v>
      </c>
      <c r="E87" t="s">
        <v>224</v>
      </c>
      <c r="F87" s="13">
        <v>1</v>
      </c>
      <c r="G87" s="14">
        <v>277.52999999999997</v>
      </c>
      <c r="H87" s="13">
        <v>533</v>
      </c>
      <c r="I87" t="s">
        <v>77</v>
      </c>
    </row>
    <row r="88" spans="1:9" x14ac:dyDescent="0.3">
      <c r="A88">
        <v>355</v>
      </c>
      <c r="B88" t="s">
        <v>94</v>
      </c>
      <c r="C88" t="s">
        <v>92</v>
      </c>
      <c r="D88" t="s">
        <v>64</v>
      </c>
      <c r="E88" t="s">
        <v>226</v>
      </c>
      <c r="F88" s="13">
        <v>1</v>
      </c>
      <c r="G88" s="14">
        <v>365.48</v>
      </c>
      <c r="H88" s="13">
        <v>532</v>
      </c>
      <c r="I88" t="s">
        <v>77</v>
      </c>
    </row>
    <row r="89" spans="1:9" x14ac:dyDescent="0.3">
      <c r="A89">
        <v>4620</v>
      </c>
      <c r="B89" t="s">
        <v>227</v>
      </c>
      <c r="C89" t="s">
        <v>90</v>
      </c>
      <c r="D89" t="s">
        <v>66</v>
      </c>
      <c r="E89" t="s">
        <v>226</v>
      </c>
      <c r="F89" s="13">
        <v>2</v>
      </c>
      <c r="G89" s="14">
        <v>10395.15</v>
      </c>
      <c r="H89" s="13">
        <v>532</v>
      </c>
      <c r="I89" t="s">
        <v>77</v>
      </c>
    </row>
    <row r="90" spans="1:9" x14ac:dyDescent="0.3">
      <c r="A90">
        <v>8994</v>
      </c>
      <c r="B90" t="s">
        <v>228</v>
      </c>
      <c r="C90" t="s">
        <v>90</v>
      </c>
      <c r="D90" t="s">
        <v>66</v>
      </c>
      <c r="E90" t="s">
        <v>226</v>
      </c>
      <c r="F90" s="13">
        <v>1</v>
      </c>
      <c r="G90" s="14">
        <v>651.63</v>
      </c>
      <c r="H90" s="13">
        <v>532</v>
      </c>
      <c r="I90" t="s">
        <v>77</v>
      </c>
    </row>
    <row r="91" spans="1:9" x14ac:dyDescent="0.3">
      <c r="A91">
        <v>8694</v>
      </c>
      <c r="B91" t="s">
        <v>229</v>
      </c>
      <c r="C91" t="s">
        <v>156</v>
      </c>
      <c r="D91" t="s">
        <v>68</v>
      </c>
      <c r="E91" t="s">
        <v>230</v>
      </c>
      <c r="F91" s="13">
        <v>1</v>
      </c>
      <c r="G91" s="14">
        <v>680.51</v>
      </c>
      <c r="H91" s="13">
        <v>531</v>
      </c>
      <c r="I91" t="s">
        <v>77</v>
      </c>
    </row>
    <row r="92" spans="1:9" x14ac:dyDescent="0.3">
      <c r="A92">
        <v>4378</v>
      </c>
      <c r="B92" t="s">
        <v>231</v>
      </c>
      <c r="C92" t="s">
        <v>114</v>
      </c>
      <c r="D92" t="s">
        <v>66</v>
      </c>
      <c r="E92" t="s">
        <v>232</v>
      </c>
      <c r="F92" s="13">
        <v>2</v>
      </c>
      <c r="G92" s="14">
        <v>384.26</v>
      </c>
      <c r="H92" s="13">
        <v>530</v>
      </c>
      <c r="I92" t="s">
        <v>77</v>
      </c>
    </row>
    <row r="93" spans="1:9" x14ac:dyDescent="0.3">
      <c r="A93">
        <v>7892</v>
      </c>
      <c r="B93" t="s">
        <v>233</v>
      </c>
      <c r="C93" t="s">
        <v>92</v>
      </c>
      <c r="D93" t="s">
        <v>64</v>
      </c>
      <c r="E93" t="s">
        <v>234</v>
      </c>
      <c r="F93" s="13">
        <v>1</v>
      </c>
      <c r="G93" s="14">
        <v>634.73</v>
      </c>
      <c r="H93" s="13">
        <v>529</v>
      </c>
      <c r="I93" t="s">
        <v>77</v>
      </c>
    </row>
    <row r="94" spans="1:9" x14ac:dyDescent="0.3">
      <c r="A94">
        <v>1049</v>
      </c>
      <c r="B94" t="s">
        <v>153</v>
      </c>
      <c r="C94" t="s">
        <v>92</v>
      </c>
      <c r="D94" t="s">
        <v>64</v>
      </c>
      <c r="E94" t="s">
        <v>235</v>
      </c>
      <c r="F94" s="13">
        <v>2</v>
      </c>
      <c r="G94" s="14">
        <v>2398.79</v>
      </c>
      <c r="H94" s="13">
        <v>528</v>
      </c>
      <c r="I94" t="s">
        <v>77</v>
      </c>
    </row>
    <row r="95" spans="1:9" x14ac:dyDescent="0.3">
      <c r="A95">
        <v>2108</v>
      </c>
      <c r="B95" t="s">
        <v>113</v>
      </c>
      <c r="C95" t="s">
        <v>121</v>
      </c>
      <c r="D95" t="s">
        <v>67</v>
      </c>
      <c r="E95" t="s">
        <v>236</v>
      </c>
      <c r="F95" s="13">
        <v>1</v>
      </c>
      <c r="G95" s="14">
        <v>4851.1400000000003</v>
      </c>
      <c r="H95" s="13">
        <v>527</v>
      </c>
      <c r="I95" t="s">
        <v>77</v>
      </c>
    </row>
    <row r="96" spans="1:9" x14ac:dyDescent="0.3">
      <c r="A96">
        <v>2287</v>
      </c>
      <c r="B96" t="s">
        <v>237</v>
      </c>
      <c r="C96" t="s">
        <v>92</v>
      </c>
      <c r="D96" t="s">
        <v>64</v>
      </c>
      <c r="E96" t="s">
        <v>238</v>
      </c>
      <c r="F96" s="13">
        <v>2</v>
      </c>
      <c r="G96" s="14">
        <v>8180.13</v>
      </c>
      <c r="H96" s="13">
        <v>525</v>
      </c>
      <c r="I96" t="s">
        <v>77</v>
      </c>
    </row>
    <row r="97" spans="1:9" x14ac:dyDescent="0.3">
      <c r="A97">
        <v>2676</v>
      </c>
      <c r="B97" t="s">
        <v>205</v>
      </c>
      <c r="C97" t="s">
        <v>137</v>
      </c>
      <c r="D97" t="s">
        <v>64</v>
      </c>
      <c r="E97" t="s">
        <v>239</v>
      </c>
      <c r="F97" s="13">
        <v>1</v>
      </c>
      <c r="G97" s="14">
        <v>292.3</v>
      </c>
      <c r="H97" s="13">
        <v>523</v>
      </c>
      <c r="I97" t="s">
        <v>77</v>
      </c>
    </row>
    <row r="98" spans="1:9" x14ac:dyDescent="0.3">
      <c r="A98">
        <v>784</v>
      </c>
      <c r="B98" t="s">
        <v>240</v>
      </c>
      <c r="C98" t="s">
        <v>121</v>
      </c>
      <c r="D98" t="s">
        <v>67</v>
      </c>
      <c r="E98" t="s">
        <v>241</v>
      </c>
      <c r="F98" s="13">
        <v>1</v>
      </c>
      <c r="G98" s="14">
        <v>4887.43</v>
      </c>
      <c r="H98" s="13">
        <v>522</v>
      </c>
      <c r="I98" t="s">
        <v>77</v>
      </c>
    </row>
    <row r="99" spans="1:9" x14ac:dyDescent="0.3">
      <c r="A99">
        <v>5256</v>
      </c>
      <c r="B99" t="s">
        <v>242</v>
      </c>
      <c r="C99" t="s">
        <v>90</v>
      </c>
      <c r="D99" t="s">
        <v>66</v>
      </c>
      <c r="E99" t="s">
        <v>241</v>
      </c>
      <c r="F99" s="13">
        <v>1</v>
      </c>
      <c r="G99" s="14">
        <v>334.49</v>
      </c>
      <c r="H99" s="13">
        <v>522</v>
      </c>
      <c r="I99" t="s">
        <v>77</v>
      </c>
    </row>
    <row r="100" spans="1:9" x14ac:dyDescent="0.3">
      <c r="A100">
        <v>1782</v>
      </c>
      <c r="B100" t="s">
        <v>243</v>
      </c>
      <c r="C100" t="s">
        <v>137</v>
      </c>
      <c r="D100" t="s">
        <v>64</v>
      </c>
      <c r="E100" t="s">
        <v>244</v>
      </c>
      <c r="F100" s="13">
        <v>1</v>
      </c>
      <c r="G100" s="14">
        <v>1636.78</v>
      </c>
      <c r="H100" s="13">
        <v>519</v>
      </c>
      <c r="I100" t="s">
        <v>77</v>
      </c>
    </row>
    <row r="101" spans="1:9" x14ac:dyDescent="0.3">
      <c r="A101">
        <v>2429</v>
      </c>
      <c r="B101" t="s">
        <v>245</v>
      </c>
      <c r="C101" t="s">
        <v>137</v>
      </c>
      <c r="D101" t="s">
        <v>64</v>
      </c>
      <c r="E101" t="s">
        <v>246</v>
      </c>
      <c r="F101" s="13">
        <v>1</v>
      </c>
      <c r="G101" s="14">
        <v>6730.1</v>
      </c>
      <c r="H101" s="13">
        <v>518</v>
      </c>
      <c r="I101" t="s">
        <v>77</v>
      </c>
    </row>
    <row r="102" spans="1:9" x14ac:dyDescent="0.3">
      <c r="A102">
        <v>6666</v>
      </c>
      <c r="B102" t="s">
        <v>247</v>
      </c>
      <c r="C102" t="s">
        <v>92</v>
      </c>
      <c r="D102" t="s">
        <v>64</v>
      </c>
      <c r="E102" t="s">
        <v>246</v>
      </c>
      <c r="F102" s="13">
        <v>1</v>
      </c>
      <c r="G102" s="14">
        <v>6234.42</v>
      </c>
      <c r="H102" s="13">
        <v>518</v>
      </c>
      <c r="I102" t="s">
        <v>77</v>
      </c>
    </row>
    <row r="103" spans="1:9" x14ac:dyDescent="0.3">
      <c r="A103">
        <v>388</v>
      </c>
      <c r="B103" t="s">
        <v>248</v>
      </c>
      <c r="C103" t="s">
        <v>249</v>
      </c>
      <c r="D103" t="s">
        <v>67</v>
      </c>
      <c r="E103" t="s">
        <v>250</v>
      </c>
      <c r="F103" s="13">
        <v>1</v>
      </c>
      <c r="G103" s="14">
        <v>3025.59</v>
      </c>
      <c r="H103" s="13">
        <v>516</v>
      </c>
      <c r="I103" t="s">
        <v>77</v>
      </c>
    </row>
    <row r="104" spans="1:9" x14ac:dyDescent="0.3">
      <c r="A104">
        <v>1949</v>
      </c>
      <c r="B104" t="s">
        <v>251</v>
      </c>
      <c r="C104" t="s">
        <v>97</v>
      </c>
      <c r="D104" t="s">
        <v>65</v>
      </c>
      <c r="E104" t="s">
        <v>250</v>
      </c>
      <c r="F104" s="13">
        <v>3</v>
      </c>
      <c r="G104" s="14">
        <v>5693.68</v>
      </c>
      <c r="H104" s="13">
        <v>516</v>
      </c>
      <c r="I104" t="s">
        <v>77</v>
      </c>
    </row>
    <row r="105" spans="1:9" x14ac:dyDescent="0.3">
      <c r="A105">
        <v>3252</v>
      </c>
      <c r="B105" t="s">
        <v>252</v>
      </c>
      <c r="C105" t="s">
        <v>97</v>
      </c>
      <c r="D105" t="s">
        <v>65</v>
      </c>
      <c r="E105" t="s">
        <v>250</v>
      </c>
      <c r="F105" s="13">
        <v>1</v>
      </c>
      <c r="G105" s="14">
        <v>3146.19</v>
      </c>
      <c r="H105" s="13">
        <v>516</v>
      </c>
      <c r="I105" t="s">
        <v>77</v>
      </c>
    </row>
    <row r="106" spans="1:9" x14ac:dyDescent="0.3">
      <c r="A106">
        <v>3858</v>
      </c>
      <c r="B106" t="s">
        <v>253</v>
      </c>
      <c r="C106" t="s">
        <v>92</v>
      </c>
      <c r="D106" t="s">
        <v>64</v>
      </c>
      <c r="E106" t="s">
        <v>250</v>
      </c>
      <c r="F106" s="13">
        <v>1</v>
      </c>
      <c r="G106" s="14">
        <v>250.11</v>
      </c>
      <c r="H106" s="13">
        <v>516</v>
      </c>
      <c r="I106" t="s">
        <v>77</v>
      </c>
    </row>
    <row r="107" spans="1:9" x14ac:dyDescent="0.3">
      <c r="A107">
        <v>8540</v>
      </c>
      <c r="B107" t="s">
        <v>237</v>
      </c>
      <c r="C107" t="s">
        <v>97</v>
      </c>
      <c r="D107" t="s">
        <v>65</v>
      </c>
      <c r="E107" t="s">
        <v>250</v>
      </c>
      <c r="F107" s="13">
        <v>2</v>
      </c>
      <c r="G107" s="14">
        <v>547.44000000000005</v>
      </c>
      <c r="H107" s="13">
        <v>516</v>
      </c>
      <c r="I107" t="s">
        <v>77</v>
      </c>
    </row>
    <row r="108" spans="1:9" x14ac:dyDescent="0.3">
      <c r="A108">
        <v>5050</v>
      </c>
      <c r="B108" t="s">
        <v>151</v>
      </c>
      <c r="C108" t="s">
        <v>95</v>
      </c>
      <c r="D108" t="s">
        <v>65</v>
      </c>
      <c r="E108" t="s">
        <v>254</v>
      </c>
      <c r="F108" s="13">
        <v>1</v>
      </c>
      <c r="G108" s="14">
        <v>77.62</v>
      </c>
      <c r="H108" s="13">
        <v>515</v>
      </c>
      <c r="I108" t="s">
        <v>77</v>
      </c>
    </row>
    <row r="109" spans="1:9" x14ac:dyDescent="0.3">
      <c r="A109">
        <v>5144</v>
      </c>
      <c r="B109" t="s">
        <v>255</v>
      </c>
      <c r="C109" t="s">
        <v>92</v>
      </c>
      <c r="D109" t="s">
        <v>64</v>
      </c>
      <c r="E109" t="s">
        <v>256</v>
      </c>
      <c r="F109" s="13">
        <v>3</v>
      </c>
      <c r="G109" s="14">
        <v>3808.86</v>
      </c>
      <c r="H109" s="13">
        <v>514</v>
      </c>
      <c r="I109" t="s">
        <v>77</v>
      </c>
    </row>
    <row r="110" spans="1:9" x14ac:dyDescent="0.3">
      <c r="A110">
        <v>1712</v>
      </c>
      <c r="B110" t="s">
        <v>257</v>
      </c>
      <c r="C110" t="s">
        <v>92</v>
      </c>
      <c r="D110" t="s">
        <v>64</v>
      </c>
      <c r="E110" t="s">
        <v>258</v>
      </c>
      <c r="F110" s="13">
        <v>1</v>
      </c>
      <c r="G110" s="14">
        <v>4045.89</v>
      </c>
      <c r="H110" s="13">
        <v>513</v>
      </c>
      <c r="I110" t="s">
        <v>77</v>
      </c>
    </row>
    <row r="111" spans="1:9" x14ac:dyDescent="0.3">
      <c r="A111">
        <v>3330</v>
      </c>
      <c r="B111" t="s">
        <v>259</v>
      </c>
      <c r="C111" t="s">
        <v>133</v>
      </c>
      <c r="D111" t="s">
        <v>64</v>
      </c>
      <c r="E111" t="s">
        <v>260</v>
      </c>
      <c r="F111" s="13">
        <v>2</v>
      </c>
      <c r="G111" s="14">
        <v>1785.43</v>
      </c>
      <c r="H111" s="13">
        <v>512</v>
      </c>
      <c r="I111" t="s">
        <v>77</v>
      </c>
    </row>
    <row r="112" spans="1:9" x14ac:dyDescent="0.3">
      <c r="A112">
        <v>6761</v>
      </c>
      <c r="B112" t="s">
        <v>261</v>
      </c>
      <c r="C112" t="s">
        <v>92</v>
      </c>
      <c r="D112" t="s">
        <v>64</v>
      </c>
      <c r="E112" t="s">
        <v>260</v>
      </c>
      <c r="F112" s="13">
        <v>1</v>
      </c>
      <c r="G112" s="14">
        <v>1533.31</v>
      </c>
      <c r="H112" s="13">
        <v>512</v>
      </c>
      <c r="I112" t="s">
        <v>77</v>
      </c>
    </row>
    <row r="113" spans="1:9" x14ac:dyDescent="0.3">
      <c r="A113">
        <v>3039</v>
      </c>
      <c r="B113" t="s">
        <v>262</v>
      </c>
      <c r="C113" t="s">
        <v>100</v>
      </c>
      <c r="D113" t="s">
        <v>66</v>
      </c>
      <c r="E113" t="s">
        <v>263</v>
      </c>
      <c r="F113" s="13">
        <v>1</v>
      </c>
      <c r="G113" s="14">
        <v>4200.07</v>
      </c>
      <c r="H113" s="13">
        <v>511</v>
      </c>
      <c r="I113" t="s">
        <v>77</v>
      </c>
    </row>
    <row r="114" spans="1:9" x14ac:dyDescent="0.3">
      <c r="A114">
        <v>4136</v>
      </c>
      <c r="B114" t="s">
        <v>264</v>
      </c>
      <c r="C114" t="s">
        <v>137</v>
      </c>
      <c r="D114" t="s">
        <v>64</v>
      </c>
      <c r="E114" t="s">
        <v>263</v>
      </c>
      <c r="F114" s="13">
        <v>1</v>
      </c>
      <c r="G114" s="14">
        <v>116.74</v>
      </c>
      <c r="H114" s="13">
        <v>511</v>
      </c>
      <c r="I114" t="s">
        <v>77</v>
      </c>
    </row>
    <row r="115" spans="1:9" x14ac:dyDescent="0.3">
      <c r="A115">
        <v>760</v>
      </c>
      <c r="B115" t="s">
        <v>176</v>
      </c>
      <c r="C115" t="s">
        <v>92</v>
      </c>
      <c r="D115" t="s">
        <v>64</v>
      </c>
      <c r="E115" t="s">
        <v>265</v>
      </c>
      <c r="F115" s="13">
        <v>1</v>
      </c>
      <c r="G115" s="14">
        <v>370.97</v>
      </c>
      <c r="H115" s="13">
        <v>510</v>
      </c>
      <c r="I115" t="s">
        <v>77</v>
      </c>
    </row>
    <row r="116" spans="1:9" x14ac:dyDescent="0.3">
      <c r="A116">
        <v>3353</v>
      </c>
      <c r="B116" t="s">
        <v>266</v>
      </c>
      <c r="C116" t="s">
        <v>100</v>
      </c>
      <c r="D116" t="s">
        <v>66</v>
      </c>
      <c r="E116" t="s">
        <v>265</v>
      </c>
      <c r="F116" s="13">
        <v>2</v>
      </c>
      <c r="G116" s="14">
        <v>1072.8</v>
      </c>
      <c r="H116" s="13">
        <v>510</v>
      </c>
      <c r="I116" t="s">
        <v>77</v>
      </c>
    </row>
    <row r="117" spans="1:9" x14ac:dyDescent="0.3">
      <c r="A117">
        <v>6841</v>
      </c>
      <c r="B117" t="s">
        <v>135</v>
      </c>
      <c r="C117" t="s">
        <v>133</v>
      </c>
      <c r="D117" t="s">
        <v>64</v>
      </c>
      <c r="E117" t="s">
        <v>267</v>
      </c>
      <c r="F117" s="13">
        <v>1</v>
      </c>
      <c r="G117" s="14">
        <v>209.36</v>
      </c>
      <c r="H117" s="13">
        <v>507</v>
      </c>
      <c r="I117" t="s">
        <v>77</v>
      </c>
    </row>
    <row r="118" spans="1:9" x14ac:dyDescent="0.3">
      <c r="A118">
        <v>3422</v>
      </c>
      <c r="B118" t="s">
        <v>268</v>
      </c>
      <c r="C118" t="s">
        <v>133</v>
      </c>
      <c r="D118" t="s">
        <v>64</v>
      </c>
      <c r="E118" t="s">
        <v>269</v>
      </c>
      <c r="F118" s="13">
        <v>1</v>
      </c>
      <c r="G118" s="14">
        <v>846.84</v>
      </c>
      <c r="H118" s="13">
        <v>506</v>
      </c>
      <c r="I118" t="s">
        <v>77</v>
      </c>
    </row>
    <row r="119" spans="1:9" x14ac:dyDescent="0.3">
      <c r="A119">
        <v>2912</v>
      </c>
      <c r="B119" t="s">
        <v>202</v>
      </c>
      <c r="C119" t="s">
        <v>114</v>
      </c>
      <c r="D119" t="s">
        <v>66</v>
      </c>
      <c r="E119" t="s">
        <v>270</v>
      </c>
      <c r="F119" s="13">
        <v>1</v>
      </c>
      <c r="G119" s="14">
        <v>3532.19</v>
      </c>
      <c r="H119" s="13">
        <v>504</v>
      </c>
      <c r="I119" t="s">
        <v>77</v>
      </c>
    </row>
    <row r="120" spans="1:9" x14ac:dyDescent="0.3">
      <c r="A120">
        <v>3308</v>
      </c>
      <c r="B120" t="s">
        <v>271</v>
      </c>
      <c r="C120" t="s">
        <v>133</v>
      </c>
      <c r="D120" t="s">
        <v>64</v>
      </c>
      <c r="E120" t="s">
        <v>270</v>
      </c>
      <c r="F120" s="13">
        <v>1</v>
      </c>
      <c r="G120" s="14">
        <v>389.84</v>
      </c>
      <c r="H120" s="13">
        <v>504</v>
      </c>
      <c r="I120" t="s">
        <v>77</v>
      </c>
    </row>
    <row r="121" spans="1:9" x14ac:dyDescent="0.3">
      <c r="A121">
        <v>4560</v>
      </c>
      <c r="B121" t="s">
        <v>272</v>
      </c>
      <c r="C121" t="s">
        <v>123</v>
      </c>
      <c r="D121" t="s">
        <v>65</v>
      </c>
      <c r="E121" t="s">
        <v>270</v>
      </c>
      <c r="F121" s="13">
        <v>1</v>
      </c>
      <c r="G121" s="14">
        <v>4423</v>
      </c>
      <c r="H121" s="13">
        <v>504</v>
      </c>
      <c r="I121" t="s">
        <v>77</v>
      </c>
    </row>
    <row r="122" spans="1:9" x14ac:dyDescent="0.3">
      <c r="A122">
        <v>7984</v>
      </c>
      <c r="B122" t="s">
        <v>273</v>
      </c>
      <c r="C122" t="s">
        <v>92</v>
      </c>
      <c r="D122" t="s">
        <v>64</v>
      </c>
      <c r="E122" t="s">
        <v>270</v>
      </c>
      <c r="F122" s="13">
        <v>1</v>
      </c>
      <c r="G122" s="14">
        <v>470.73</v>
      </c>
      <c r="H122" s="13">
        <v>504</v>
      </c>
      <c r="I122" t="s">
        <v>77</v>
      </c>
    </row>
    <row r="123" spans="1:9" x14ac:dyDescent="0.3">
      <c r="A123">
        <v>3288</v>
      </c>
      <c r="B123" t="s">
        <v>274</v>
      </c>
      <c r="C123" t="s">
        <v>137</v>
      </c>
      <c r="D123" t="s">
        <v>64</v>
      </c>
      <c r="E123" t="s">
        <v>275</v>
      </c>
      <c r="F123" s="13">
        <v>1</v>
      </c>
      <c r="G123" s="14">
        <v>2295.2600000000002</v>
      </c>
      <c r="H123" s="13">
        <v>503</v>
      </c>
      <c r="I123" t="s">
        <v>77</v>
      </c>
    </row>
    <row r="124" spans="1:9" x14ac:dyDescent="0.3">
      <c r="A124">
        <v>5189</v>
      </c>
      <c r="B124" t="s">
        <v>276</v>
      </c>
      <c r="C124" t="s">
        <v>95</v>
      </c>
      <c r="D124" t="s">
        <v>65</v>
      </c>
      <c r="E124" t="s">
        <v>275</v>
      </c>
      <c r="F124" s="13">
        <v>1</v>
      </c>
      <c r="G124" s="14">
        <v>91.1</v>
      </c>
      <c r="H124" s="13">
        <v>503</v>
      </c>
      <c r="I124" t="s">
        <v>77</v>
      </c>
    </row>
    <row r="125" spans="1:9" x14ac:dyDescent="0.3">
      <c r="A125">
        <v>1892</v>
      </c>
      <c r="B125" t="s">
        <v>277</v>
      </c>
      <c r="C125" t="s">
        <v>95</v>
      </c>
      <c r="D125" t="s">
        <v>65</v>
      </c>
      <c r="E125" t="s">
        <v>278</v>
      </c>
      <c r="F125" s="13">
        <v>2</v>
      </c>
      <c r="G125" s="14">
        <v>1367.97</v>
      </c>
      <c r="H125" s="13">
        <v>501</v>
      </c>
      <c r="I125" t="s">
        <v>77</v>
      </c>
    </row>
    <row r="126" spans="1:9" x14ac:dyDescent="0.3">
      <c r="A126">
        <v>7830</v>
      </c>
      <c r="B126" t="s">
        <v>279</v>
      </c>
      <c r="C126" t="s">
        <v>92</v>
      </c>
      <c r="D126" t="s">
        <v>64</v>
      </c>
      <c r="E126" t="s">
        <v>278</v>
      </c>
      <c r="F126" s="13">
        <v>1</v>
      </c>
      <c r="G126" s="14">
        <v>3268.99</v>
      </c>
      <c r="H126" s="13">
        <v>501</v>
      </c>
      <c r="I126" t="s">
        <v>77</v>
      </c>
    </row>
    <row r="127" spans="1:9" x14ac:dyDescent="0.3">
      <c r="A127">
        <v>3200</v>
      </c>
      <c r="B127" t="s">
        <v>280</v>
      </c>
      <c r="C127" t="s">
        <v>97</v>
      </c>
      <c r="D127" t="s">
        <v>65</v>
      </c>
      <c r="E127" t="s">
        <v>281</v>
      </c>
      <c r="F127" s="13">
        <v>1</v>
      </c>
      <c r="G127" s="14">
        <v>581.87</v>
      </c>
      <c r="H127" s="13">
        <v>500</v>
      </c>
      <c r="I127" t="s">
        <v>77</v>
      </c>
    </row>
    <row r="128" spans="1:9" x14ac:dyDescent="0.3">
      <c r="A128">
        <v>3983</v>
      </c>
      <c r="B128" t="s">
        <v>282</v>
      </c>
      <c r="C128" t="s">
        <v>95</v>
      </c>
      <c r="D128" t="s">
        <v>65</v>
      </c>
      <c r="E128" t="s">
        <v>281</v>
      </c>
      <c r="F128" s="13">
        <v>1</v>
      </c>
      <c r="G128" s="14">
        <v>887.12</v>
      </c>
      <c r="H128" s="13">
        <v>500</v>
      </c>
      <c r="I128" t="s">
        <v>77</v>
      </c>
    </row>
    <row r="129" spans="1:9" x14ac:dyDescent="0.3">
      <c r="A129">
        <v>4317</v>
      </c>
      <c r="B129" t="s">
        <v>283</v>
      </c>
      <c r="C129" t="s">
        <v>92</v>
      </c>
      <c r="D129" t="s">
        <v>64</v>
      </c>
      <c r="E129" t="s">
        <v>281</v>
      </c>
      <c r="F129" s="13">
        <v>1</v>
      </c>
      <c r="G129" s="14">
        <v>2071.0700000000002</v>
      </c>
      <c r="H129" s="13">
        <v>500</v>
      </c>
      <c r="I129" t="s">
        <v>77</v>
      </c>
    </row>
    <row r="130" spans="1:9" x14ac:dyDescent="0.3">
      <c r="A130">
        <v>1978</v>
      </c>
      <c r="B130" t="s">
        <v>284</v>
      </c>
      <c r="C130" t="s">
        <v>137</v>
      </c>
      <c r="D130" t="s">
        <v>64</v>
      </c>
      <c r="E130" t="s">
        <v>285</v>
      </c>
      <c r="F130" s="13">
        <v>2</v>
      </c>
      <c r="G130" s="14">
        <v>957.25</v>
      </c>
      <c r="H130" s="13">
        <v>499</v>
      </c>
      <c r="I130" t="s">
        <v>77</v>
      </c>
    </row>
    <row r="131" spans="1:9" x14ac:dyDescent="0.3">
      <c r="A131">
        <v>4200</v>
      </c>
      <c r="B131" t="s">
        <v>286</v>
      </c>
      <c r="C131" t="s">
        <v>95</v>
      </c>
      <c r="D131" t="s">
        <v>65</v>
      </c>
      <c r="E131" t="s">
        <v>287</v>
      </c>
      <c r="F131" s="13">
        <v>1</v>
      </c>
      <c r="G131" s="14">
        <v>741.09</v>
      </c>
      <c r="H131" s="13">
        <v>498</v>
      </c>
      <c r="I131" t="s">
        <v>77</v>
      </c>
    </row>
    <row r="132" spans="1:9" x14ac:dyDescent="0.3">
      <c r="A132">
        <v>5341</v>
      </c>
      <c r="B132" t="s">
        <v>288</v>
      </c>
      <c r="C132" t="s">
        <v>97</v>
      </c>
      <c r="D132" t="s">
        <v>65</v>
      </c>
      <c r="E132" t="s">
        <v>287</v>
      </c>
      <c r="F132" s="13">
        <v>1</v>
      </c>
      <c r="G132" s="14">
        <v>1065.7</v>
      </c>
      <c r="H132" s="13">
        <v>498</v>
      </c>
      <c r="I132" t="s">
        <v>77</v>
      </c>
    </row>
    <row r="133" spans="1:9" x14ac:dyDescent="0.3">
      <c r="A133">
        <v>6310</v>
      </c>
      <c r="B133" t="s">
        <v>205</v>
      </c>
      <c r="C133" t="s">
        <v>95</v>
      </c>
      <c r="D133" t="s">
        <v>65</v>
      </c>
      <c r="E133" t="s">
        <v>287</v>
      </c>
      <c r="F133" s="13">
        <v>1</v>
      </c>
      <c r="G133" s="14">
        <v>1766.84</v>
      </c>
      <c r="H133" s="13">
        <v>498</v>
      </c>
      <c r="I133" t="s">
        <v>77</v>
      </c>
    </row>
    <row r="134" spans="1:9" x14ac:dyDescent="0.3">
      <c r="A134">
        <v>8536</v>
      </c>
      <c r="B134" t="s">
        <v>289</v>
      </c>
      <c r="C134" t="s">
        <v>137</v>
      </c>
      <c r="D134" t="s">
        <v>64</v>
      </c>
      <c r="E134" t="s">
        <v>290</v>
      </c>
      <c r="F134" s="13">
        <v>1</v>
      </c>
      <c r="G134" s="14">
        <v>299.13</v>
      </c>
      <c r="H134" s="13">
        <v>496</v>
      </c>
      <c r="I134" t="s">
        <v>77</v>
      </c>
    </row>
    <row r="135" spans="1:9" x14ac:dyDescent="0.3">
      <c r="A135">
        <v>2895</v>
      </c>
      <c r="B135" t="s">
        <v>291</v>
      </c>
      <c r="C135" t="s">
        <v>133</v>
      </c>
      <c r="D135" t="s">
        <v>64</v>
      </c>
      <c r="E135" t="s">
        <v>292</v>
      </c>
      <c r="F135" s="13">
        <v>2</v>
      </c>
      <c r="G135" s="14">
        <v>1433.96</v>
      </c>
      <c r="H135" s="13">
        <v>495</v>
      </c>
      <c r="I135" t="s">
        <v>77</v>
      </c>
    </row>
    <row r="136" spans="1:9" x14ac:dyDescent="0.3">
      <c r="A136">
        <v>7836</v>
      </c>
      <c r="B136" t="s">
        <v>293</v>
      </c>
      <c r="C136" t="s">
        <v>95</v>
      </c>
      <c r="D136" t="s">
        <v>65</v>
      </c>
      <c r="E136" t="s">
        <v>292</v>
      </c>
      <c r="F136" s="13">
        <v>1</v>
      </c>
      <c r="G136" s="14">
        <v>527.11</v>
      </c>
      <c r="H136" s="13">
        <v>495</v>
      </c>
      <c r="I136" t="s">
        <v>77</v>
      </c>
    </row>
    <row r="137" spans="1:9" x14ac:dyDescent="0.3">
      <c r="A137">
        <v>2927</v>
      </c>
      <c r="B137" t="s">
        <v>142</v>
      </c>
      <c r="C137" t="s">
        <v>92</v>
      </c>
      <c r="D137" t="s">
        <v>64</v>
      </c>
      <c r="E137" t="s">
        <v>294</v>
      </c>
      <c r="F137" s="13">
        <v>1</v>
      </c>
      <c r="G137" s="14">
        <v>1342.22</v>
      </c>
      <c r="H137" s="13">
        <v>494</v>
      </c>
      <c r="I137" t="s">
        <v>77</v>
      </c>
    </row>
    <row r="138" spans="1:9" x14ac:dyDescent="0.3">
      <c r="A138">
        <v>6603</v>
      </c>
      <c r="B138" t="s">
        <v>295</v>
      </c>
      <c r="C138" t="s">
        <v>92</v>
      </c>
      <c r="D138" t="s">
        <v>64</v>
      </c>
      <c r="E138" t="s">
        <v>294</v>
      </c>
      <c r="F138" s="13">
        <v>1</v>
      </c>
      <c r="G138" s="14">
        <v>688.21</v>
      </c>
      <c r="H138" s="13">
        <v>494</v>
      </c>
      <c r="I138" t="s">
        <v>77</v>
      </c>
    </row>
    <row r="139" spans="1:9" x14ac:dyDescent="0.3">
      <c r="A139">
        <v>8411</v>
      </c>
      <c r="B139" t="s">
        <v>296</v>
      </c>
      <c r="C139" t="s">
        <v>97</v>
      </c>
      <c r="D139" t="s">
        <v>65</v>
      </c>
      <c r="E139" t="s">
        <v>294</v>
      </c>
      <c r="F139" s="13">
        <v>1</v>
      </c>
      <c r="G139" s="14">
        <v>327.42</v>
      </c>
      <c r="H139" s="13">
        <v>494</v>
      </c>
      <c r="I139" t="s">
        <v>77</v>
      </c>
    </row>
    <row r="140" spans="1:9" x14ac:dyDescent="0.3">
      <c r="A140">
        <v>3966</v>
      </c>
      <c r="B140" t="s">
        <v>297</v>
      </c>
      <c r="C140" t="s">
        <v>123</v>
      </c>
      <c r="D140" t="s">
        <v>65</v>
      </c>
      <c r="E140" t="s">
        <v>298</v>
      </c>
      <c r="F140" s="13">
        <v>1</v>
      </c>
      <c r="G140" s="14">
        <v>456.8</v>
      </c>
      <c r="H140" s="13">
        <v>493</v>
      </c>
      <c r="I140" t="s">
        <v>77</v>
      </c>
    </row>
    <row r="141" spans="1:9" x14ac:dyDescent="0.3">
      <c r="A141">
        <v>6868</v>
      </c>
      <c r="B141" t="s">
        <v>299</v>
      </c>
      <c r="C141" t="s">
        <v>137</v>
      </c>
      <c r="D141" t="s">
        <v>64</v>
      </c>
      <c r="E141" t="s">
        <v>298</v>
      </c>
      <c r="F141" s="13">
        <v>1</v>
      </c>
      <c r="G141" s="14">
        <v>3381.1</v>
      </c>
      <c r="H141" s="13">
        <v>493</v>
      </c>
      <c r="I141" t="s">
        <v>77</v>
      </c>
    </row>
    <row r="142" spans="1:9" x14ac:dyDescent="0.3">
      <c r="A142">
        <v>4432</v>
      </c>
      <c r="B142" t="s">
        <v>300</v>
      </c>
      <c r="C142" t="s">
        <v>92</v>
      </c>
      <c r="D142" t="s">
        <v>64</v>
      </c>
      <c r="E142" t="s">
        <v>301</v>
      </c>
      <c r="F142" s="13">
        <v>1</v>
      </c>
      <c r="G142" s="14">
        <v>587.37</v>
      </c>
      <c r="H142" s="13">
        <v>492</v>
      </c>
      <c r="I142" t="s">
        <v>77</v>
      </c>
    </row>
    <row r="143" spans="1:9" x14ac:dyDescent="0.3">
      <c r="A143">
        <v>1619</v>
      </c>
      <c r="B143" t="s">
        <v>302</v>
      </c>
      <c r="C143" t="s">
        <v>92</v>
      </c>
      <c r="D143" t="s">
        <v>64</v>
      </c>
      <c r="E143" t="s">
        <v>303</v>
      </c>
      <c r="F143" s="13">
        <v>1</v>
      </c>
      <c r="G143" s="14">
        <v>1438.93</v>
      </c>
      <c r="H143" s="13">
        <v>491</v>
      </c>
      <c r="I143" t="s">
        <v>77</v>
      </c>
    </row>
    <row r="144" spans="1:9" x14ac:dyDescent="0.3">
      <c r="A144">
        <v>3137</v>
      </c>
      <c r="B144" t="s">
        <v>304</v>
      </c>
      <c r="C144" t="s">
        <v>123</v>
      </c>
      <c r="D144" t="s">
        <v>65</v>
      </c>
      <c r="E144" t="s">
        <v>303</v>
      </c>
      <c r="F144" s="13">
        <v>1</v>
      </c>
      <c r="G144" s="14">
        <v>340.57</v>
      </c>
      <c r="H144" s="13">
        <v>491</v>
      </c>
      <c r="I144" t="s">
        <v>77</v>
      </c>
    </row>
    <row r="145" spans="1:9" x14ac:dyDescent="0.3">
      <c r="A145">
        <v>4570</v>
      </c>
      <c r="B145" t="s">
        <v>305</v>
      </c>
      <c r="C145" t="s">
        <v>133</v>
      </c>
      <c r="D145" t="s">
        <v>64</v>
      </c>
      <c r="E145" t="s">
        <v>303</v>
      </c>
      <c r="F145" s="13">
        <v>1</v>
      </c>
      <c r="G145" s="14">
        <v>5402.5</v>
      </c>
      <c r="H145" s="13">
        <v>491</v>
      </c>
      <c r="I145" t="s">
        <v>77</v>
      </c>
    </row>
    <row r="146" spans="1:9" x14ac:dyDescent="0.3">
      <c r="A146">
        <v>1604</v>
      </c>
      <c r="B146" t="s">
        <v>306</v>
      </c>
      <c r="C146" t="s">
        <v>92</v>
      </c>
      <c r="D146" t="s">
        <v>64</v>
      </c>
      <c r="E146" t="s">
        <v>307</v>
      </c>
      <c r="F146" s="13">
        <v>1</v>
      </c>
      <c r="G146" s="14">
        <v>2806.39</v>
      </c>
      <c r="H146" s="13">
        <v>490</v>
      </c>
      <c r="I146" t="s">
        <v>77</v>
      </c>
    </row>
    <row r="147" spans="1:9" x14ac:dyDescent="0.3">
      <c r="A147">
        <v>3950</v>
      </c>
      <c r="B147" t="s">
        <v>308</v>
      </c>
      <c r="C147" t="s">
        <v>137</v>
      </c>
      <c r="D147" t="s">
        <v>64</v>
      </c>
      <c r="E147" t="s">
        <v>309</v>
      </c>
      <c r="F147" s="13">
        <v>1</v>
      </c>
      <c r="G147" s="14">
        <v>2791.41</v>
      </c>
      <c r="H147" s="13">
        <v>489</v>
      </c>
      <c r="I147" t="s">
        <v>77</v>
      </c>
    </row>
    <row r="148" spans="1:9" x14ac:dyDescent="0.3">
      <c r="A148">
        <v>225</v>
      </c>
      <c r="B148" t="s">
        <v>191</v>
      </c>
      <c r="C148" t="s">
        <v>133</v>
      </c>
      <c r="D148" t="s">
        <v>64</v>
      </c>
      <c r="E148" t="s">
        <v>310</v>
      </c>
      <c r="F148" s="13">
        <v>1</v>
      </c>
      <c r="G148" s="14">
        <v>372.52</v>
      </c>
      <c r="H148" s="13">
        <v>488</v>
      </c>
      <c r="I148" t="s">
        <v>77</v>
      </c>
    </row>
    <row r="149" spans="1:9" x14ac:dyDescent="0.3">
      <c r="A149">
        <v>260</v>
      </c>
      <c r="B149" t="s">
        <v>311</v>
      </c>
      <c r="C149" t="s">
        <v>133</v>
      </c>
      <c r="D149" t="s">
        <v>64</v>
      </c>
      <c r="E149" t="s">
        <v>312</v>
      </c>
      <c r="F149" s="13">
        <v>1</v>
      </c>
      <c r="G149" s="14">
        <v>1595.21</v>
      </c>
      <c r="H149" s="13">
        <v>485</v>
      </c>
      <c r="I149" t="s">
        <v>77</v>
      </c>
    </row>
    <row r="150" spans="1:9" x14ac:dyDescent="0.3">
      <c r="A150">
        <v>7080</v>
      </c>
      <c r="B150" t="s">
        <v>313</v>
      </c>
      <c r="C150" t="s">
        <v>249</v>
      </c>
      <c r="D150" t="s">
        <v>67</v>
      </c>
      <c r="E150" t="s">
        <v>312</v>
      </c>
      <c r="F150" s="13">
        <v>2</v>
      </c>
      <c r="G150" s="14">
        <v>5295.68</v>
      </c>
      <c r="H150" s="13">
        <v>485</v>
      </c>
      <c r="I150" t="s">
        <v>77</v>
      </c>
    </row>
    <row r="151" spans="1:9" x14ac:dyDescent="0.3">
      <c r="A151">
        <v>25</v>
      </c>
      <c r="B151" t="s">
        <v>314</v>
      </c>
      <c r="C151" t="s">
        <v>123</v>
      </c>
      <c r="D151" t="s">
        <v>65</v>
      </c>
      <c r="E151" t="s">
        <v>315</v>
      </c>
      <c r="F151" s="13">
        <v>1</v>
      </c>
      <c r="G151" s="14">
        <v>60.03</v>
      </c>
      <c r="H151" s="13">
        <v>483</v>
      </c>
      <c r="I151" t="s">
        <v>77</v>
      </c>
    </row>
    <row r="152" spans="1:9" x14ac:dyDescent="0.3">
      <c r="A152">
        <v>1433</v>
      </c>
      <c r="B152" t="s">
        <v>316</v>
      </c>
      <c r="C152" t="s">
        <v>90</v>
      </c>
      <c r="D152" t="s">
        <v>66</v>
      </c>
      <c r="E152" t="s">
        <v>317</v>
      </c>
      <c r="F152" s="13">
        <v>1</v>
      </c>
      <c r="G152" s="14">
        <v>175.27</v>
      </c>
      <c r="H152" s="13">
        <v>482</v>
      </c>
      <c r="I152" t="s">
        <v>77</v>
      </c>
    </row>
    <row r="153" spans="1:9" x14ac:dyDescent="0.3">
      <c r="A153">
        <v>2365</v>
      </c>
      <c r="B153" t="s">
        <v>318</v>
      </c>
      <c r="C153" t="s">
        <v>92</v>
      </c>
      <c r="D153" t="s">
        <v>64</v>
      </c>
      <c r="E153" t="s">
        <v>317</v>
      </c>
      <c r="F153" s="13">
        <v>1</v>
      </c>
      <c r="G153" s="14">
        <v>436.81</v>
      </c>
      <c r="H153" s="13">
        <v>482</v>
      </c>
      <c r="I153" t="s">
        <v>77</v>
      </c>
    </row>
    <row r="154" spans="1:9" x14ac:dyDescent="0.3">
      <c r="A154">
        <v>4823</v>
      </c>
      <c r="B154" t="s">
        <v>319</v>
      </c>
      <c r="C154" t="s">
        <v>137</v>
      </c>
      <c r="D154" t="s">
        <v>64</v>
      </c>
      <c r="E154" t="s">
        <v>317</v>
      </c>
      <c r="F154" s="13">
        <v>1</v>
      </c>
      <c r="G154" s="14">
        <v>2368.84</v>
      </c>
      <c r="H154" s="13">
        <v>482</v>
      </c>
      <c r="I154" t="s">
        <v>77</v>
      </c>
    </row>
    <row r="155" spans="1:9" x14ac:dyDescent="0.3">
      <c r="A155">
        <v>5083</v>
      </c>
      <c r="B155" t="s">
        <v>240</v>
      </c>
      <c r="C155" t="s">
        <v>137</v>
      </c>
      <c r="D155" t="s">
        <v>64</v>
      </c>
      <c r="E155" t="s">
        <v>320</v>
      </c>
      <c r="F155" s="13">
        <v>1</v>
      </c>
      <c r="G155" s="14">
        <v>352.91</v>
      </c>
      <c r="H155" s="13">
        <v>481</v>
      </c>
      <c r="I155" t="s">
        <v>77</v>
      </c>
    </row>
    <row r="156" spans="1:9" x14ac:dyDescent="0.3">
      <c r="A156">
        <v>7507</v>
      </c>
      <c r="B156" t="s">
        <v>321</v>
      </c>
      <c r="C156" t="s">
        <v>123</v>
      </c>
      <c r="D156" t="s">
        <v>65</v>
      </c>
      <c r="E156" t="s">
        <v>320</v>
      </c>
      <c r="F156" s="13">
        <v>2</v>
      </c>
      <c r="G156" s="14">
        <v>5747.68</v>
      </c>
      <c r="H156" s="13">
        <v>481</v>
      </c>
      <c r="I156" t="s">
        <v>77</v>
      </c>
    </row>
    <row r="157" spans="1:9" x14ac:dyDescent="0.3">
      <c r="A157">
        <v>6519</v>
      </c>
      <c r="B157" t="s">
        <v>138</v>
      </c>
      <c r="C157" t="s">
        <v>123</v>
      </c>
      <c r="D157" t="s">
        <v>65</v>
      </c>
      <c r="E157" t="s">
        <v>322</v>
      </c>
      <c r="F157" s="13">
        <v>1</v>
      </c>
      <c r="G157" s="14">
        <v>3060.42</v>
      </c>
      <c r="H157" s="13">
        <v>480</v>
      </c>
      <c r="I157" t="s">
        <v>77</v>
      </c>
    </row>
    <row r="158" spans="1:9" x14ac:dyDescent="0.3">
      <c r="A158">
        <v>1302</v>
      </c>
      <c r="B158" t="s">
        <v>323</v>
      </c>
      <c r="C158" t="s">
        <v>97</v>
      </c>
      <c r="D158" t="s">
        <v>65</v>
      </c>
      <c r="E158" t="s">
        <v>324</v>
      </c>
      <c r="F158" s="13">
        <v>1</v>
      </c>
      <c r="G158" s="14">
        <v>1499.23</v>
      </c>
      <c r="H158" s="13">
        <v>479</v>
      </c>
      <c r="I158" t="s">
        <v>77</v>
      </c>
    </row>
    <row r="159" spans="1:9" x14ac:dyDescent="0.3">
      <c r="A159">
        <v>243</v>
      </c>
      <c r="B159" t="s">
        <v>325</v>
      </c>
      <c r="C159" t="s">
        <v>133</v>
      </c>
      <c r="D159" t="s">
        <v>64</v>
      </c>
      <c r="E159" t="s">
        <v>326</v>
      </c>
      <c r="F159" s="13">
        <v>1</v>
      </c>
      <c r="G159" s="14">
        <v>4002.95</v>
      </c>
      <c r="H159" s="13">
        <v>477</v>
      </c>
      <c r="I159" t="s">
        <v>77</v>
      </c>
    </row>
    <row r="160" spans="1:9" x14ac:dyDescent="0.3">
      <c r="A160">
        <v>5732</v>
      </c>
      <c r="B160" t="s">
        <v>327</v>
      </c>
      <c r="C160" t="s">
        <v>92</v>
      </c>
      <c r="D160" t="s">
        <v>64</v>
      </c>
      <c r="E160" t="s">
        <v>326</v>
      </c>
      <c r="F160" s="13">
        <v>1</v>
      </c>
      <c r="G160" s="14">
        <v>433.01</v>
      </c>
      <c r="H160" s="13">
        <v>477</v>
      </c>
      <c r="I160" t="s">
        <v>77</v>
      </c>
    </row>
    <row r="161" spans="1:9" x14ac:dyDescent="0.3">
      <c r="A161">
        <v>8313</v>
      </c>
      <c r="B161" t="s">
        <v>327</v>
      </c>
      <c r="C161" t="s">
        <v>92</v>
      </c>
      <c r="D161" t="s">
        <v>64</v>
      </c>
      <c r="E161" t="s">
        <v>326</v>
      </c>
      <c r="F161" s="13">
        <v>1</v>
      </c>
      <c r="G161" s="14">
        <v>5829.3</v>
      </c>
      <c r="H161" s="13">
        <v>477</v>
      </c>
      <c r="I161" t="s">
        <v>77</v>
      </c>
    </row>
    <row r="162" spans="1:9" x14ac:dyDescent="0.3">
      <c r="A162">
        <v>4770</v>
      </c>
      <c r="B162" t="s">
        <v>323</v>
      </c>
      <c r="C162" t="s">
        <v>92</v>
      </c>
      <c r="D162" t="s">
        <v>64</v>
      </c>
      <c r="E162" t="s">
        <v>328</v>
      </c>
      <c r="F162" s="13">
        <v>1</v>
      </c>
      <c r="G162" s="14">
        <v>332.38</v>
      </c>
      <c r="H162" s="13">
        <v>475</v>
      </c>
      <c r="I162" t="s">
        <v>77</v>
      </c>
    </row>
    <row r="163" spans="1:9" x14ac:dyDescent="0.3">
      <c r="A163">
        <v>6369</v>
      </c>
      <c r="B163" t="s">
        <v>99</v>
      </c>
      <c r="C163" t="s">
        <v>92</v>
      </c>
      <c r="D163" t="s">
        <v>64</v>
      </c>
      <c r="E163" t="s">
        <v>329</v>
      </c>
      <c r="F163" s="13">
        <v>1</v>
      </c>
      <c r="G163" s="14">
        <v>585.95000000000005</v>
      </c>
      <c r="H163" s="13">
        <v>474</v>
      </c>
      <c r="I163" t="s">
        <v>77</v>
      </c>
    </row>
    <row r="164" spans="1:9" x14ac:dyDescent="0.3">
      <c r="A164">
        <v>1209</v>
      </c>
      <c r="B164" t="s">
        <v>277</v>
      </c>
      <c r="C164" t="s">
        <v>137</v>
      </c>
      <c r="D164" t="s">
        <v>64</v>
      </c>
      <c r="E164" t="s">
        <v>330</v>
      </c>
      <c r="F164" s="13">
        <v>1</v>
      </c>
      <c r="G164" s="14">
        <v>1822.77</v>
      </c>
      <c r="H164" s="13">
        <v>473</v>
      </c>
      <c r="I164" t="s">
        <v>77</v>
      </c>
    </row>
    <row r="165" spans="1:9" x14ac:dyDescent="0.3">
      <c r="A165">
        <v>1628</v>
      </c>
      <c r="B165" t="s">
        <v>331</v>
      </c>
      <c r="C165" t="s">
        <v>92</v>
      </c>
      <c r="D165" t="s">
        <v>64</v>
      </c>
      <c r="E165" t="s">
        <v>332</v>
      </c>
      <c r="F165" s="13">
        <v>1</v>
      </c>
      <c r="G165" s="14">
        <v>81.790000000000006</v>
      </c>
      <c r="H165" s="13">
        <v>472</v>
      </c>
      <c r="I165" t="s">
        <v>77</v>
      </c>
    </row>
    <row r="166" spans="1:9" x14ac:dyDescent="0.3">
      <c r="A166">
        <v>8797</v>
      </c>
      <c r="B166" t="s">
        <v>222</v>
      </c>
      <c r="C166" t="s">
        <v>103</v>
      </c>
      <c r="D166" t="s">
        <v>67</v>
      </c>
      <c r="E166" t="s">
        <v>332</v>
      </c>
      <c r="F166" s="13">
        <v>2</v>
      </c>
      <c r="G166" s="14">
        <v>2232.48</v>
      </c>
      <c r="H166" s="13">
        <v>472</v>
      </c>
      <c r="I166" t="s">
        <v>77</v>
      </c>
    </row>
    <row r="167" spans="1:9" x14ac:dyDescent="0.3">
      <c r="A167">
        <v>2071</v>
      </c>
      <c r="B167" t="s">
        <v>333</v>
      </c>
      <c r="C167" t="s">
        <v>103</v>
      </c>
      <c r="D167" t="s">
        <v>67</v>
      </c>
      <c r="E167" t="s">
        <v>334</v>
      </c>
      <c r="F167" s="13">
        <v>1</v>
      </c>
      <c r="G167" s="14">
        <v>8517.36</v>
      </c>
      <c r="H167" s="13">
        <v>471</v>
      </c>
      <c r="I167" t="s">
        <v>77</v>
      </c>
    </row>
    <row r="168" spans="1:9" x14ac:dyDescent="0.3">
      <c r="A168">
        <v>2551</v>
      </c>
      <c r="B168" t="s">
        <v>335</v>
      </c>
      <c r="C168" t="s">
        <v>92</v>
      </c>
      <c r="D168" t="s">
        <v>64</v>
      </c>
      <c r="E168" t="s">
        <v>336</v>
      </c>
      <c r="F168" s="13">
        <v>1</v>
      </c>
      <c r="G168" s="14">
        <v>1139.55</v>
      </c>
      <c r="H168" s="13">
        <v>470</v>
      </c>
      <c r="I168" t="s">
        <v>77</v>
      </c>
    </row>
    <row r="169" spans="1:9" x14ac:dyDescent="0.3">
      <c r="A169">
        <v>2879</v>
      </c>
      <c r="B169" t="s">
        <v>94</v>
      </c>
      <c r="C169" t="s">
        <v>114</v>
      </c>
      <c r="D169" t="s">
        <v>66</v>
      </c>
      <c r="E169" t="s">
        <v>337</v>
      </c>
      <c r="F169" s="13">
        <v>1</v>
      </c>
      <c r="G169" s="14">
        <v>2632.97</v>
      </c>
      <c r="H169" s="13">
        <v>469</v>
      </c>
      <c r="I169" t="s">
        <v>77</v>
      </c>
    </row>
    <row r="170" spans="1:9" x14ac:dyDescent="0.3">
      <c r="A170">
        <v>4111</v>
      </c>
      <c r="B170" t="s">
        <v>338</v>
      </c>
      <c r="C170" t="s">
        <v>95</v>
      </c>
      <c r="D170" t="s">
        <v>65</v>
      </c>
      <c r="E170" t="s">
        <v>339</v>
      </c>
      <c r="F170" s="13">
        <v>1</v>
      </c>
      <c r="G170" s="14">
        <v>452.92</v>
      </c>
      <c r="H170" s="13">
        <v>468</v>
      </c>
      <c r="I170" t="s">
        <v>77</v>
      </c>
    </row>
    <row r="171" spans="1:9" x14ac:dyDescent="0.3">
      <c r="A171">
        <v>5429</v>
      </c>
      <c r="B171" t="s">
        <v>340</v>
      </c>
      <c r="C171" t="s">
        <v>249</v>
      </c>
      <c r="D171" t="s">
        <v>67</v>
      </c>
      <c r="E171" t="s">
        <v>339</v>
      </c>
      <c r="F171" s="13">
        <v>2</v>
      </c>
      <c r="G171" s="14">
        <v>5740.28</v>
      </c>
      <c r="H171" s="13">
        <v>468</v>
      </c>
      <c r="I171" t="s">
        <v>77</v>
      </c>
    </row>
    <row r="172" spans="1:9" x14ac:dyDescent="0.3">
      <c r="A172">
        <v>1954</v>
      </c>
      <c r="B172" t="s">
        <v>191</v>
      </c>
      <c r="C172" t="s">
        <v>95</v>
      </c>
      <c r="D172" t="s">
        <v>65</v>
      </c>
      <c r="E172" t="s">
        <v>341</v>
      </c>
      <c r="F172" s="13">
        <v>1</v>
      </c>
      <c r="G172" s="14">
        <v>271.63</v>
      </c>
      <c r="H172" s="13">
        <v>467</v>
      </c>
      <c r="I172" t="s">
        <v>77</v>
      </c>
    </row>
    <row r="173" spans="1:9" x14ac:dyDescent="0.3">
      <c r="A173">
        <v>5400</v>
      </c>
      <c r="B173" t="s">
        <v>240</v>
      </c>
      <c r="C173" t="s">
        <v>87</v>
      </c>
      <c r="D173" t="s">
        <v>64</v>
      </c>
      <c r="E173" t="s">
        <v>341</v>
      </c>
      <c r="F173" s="13">
        <v>1</v>
      </c>
      <c r="G173" s="14">
        <v>823.27</v>
      </c>
      <c r="H173" s="13">
        <v>467</v>
      </c>
      <c r="I173" t="s">
        <v>77</v>
      </c>
    </row>
    <row r="174" spans="1:9" x14ac:dyDescent="0.3">
      <c r="A174">
        <v>6153</v>
      </c>
      <c r="B174" t="s">
        <v>342</v>
      </c>
      <c r="C174" t="s">
        <v>92</v>
      </c>
      <c r="D174" t="s">
        <v>64</v>
      </c>
      <c r="E174" t="s">
        <v>341</v>
      </c>
      <c r="F174" s="13">
        <v>1</v>
      </c>
      <c r="G174" s="14">
        <v>1907.68</v>
      </c>
      <c r="H174" s="13">
        <v>467</v>
      </c>
      <c r="I174" t="s">
        <v>77</v>
      </c>
    </row>
    <row r="175" spans="1:9" x14ac:dyDescent="0.3">
      <c r="A175">
        <v>6606</v>
      </c>
      <c r="B175" t="s">
        <v>343</v>
      </c>
      <c r="C175" t="s">
        <v>87</v>
      </c>
      <c r="D175" t="s">
        <v>64</v>
      </c>
      <c r="E175" t="s">
        <v>341</v>
      </c>
      <c r="F175" s="13">
        <v>2</v>
      </c>
      <c r="G175" s="14">
        <v>4549.6099999999997</v>
      </c>
      <c r="H175" s="13">
        <v>467</v>
      </c>
      <c r="I175" t="s">
        <v>77</v>
      </c>
    </row>
    <row r="176" spans="1:9" x14ac:dyDescent="0.3">
      <c r="A176">
        <v>4272</v>
      </c>
      <c r="B176" t="s">
        <v>94</v>
      </c>
      <c r="C176" t="s">
        <v>95</v>
      </c>
      <c r="D176" t="s">
        <v>65</v>
      </c>
      <c r="E176" t="s">
        <v>344</v>
      </c>
      <c r="F176" s="13">
        <v>1</v>
      </c>
      <c r="G176" s="14">
        <v>9904.52</v>
      </c>
      <c r="H176" s="13">
        <v>466</v>
      </c>
      <c r="I176" t="s">
        <v>77</v>
      </c>
    </row>
    <row r="177" spans="1:9" x14ac:dyDescent="0.3">
      <c r="A177">
        <v>4825</v>
      </c>
      <c r="B177" t="s">
        <v>252</v>
      </c>
      <c r="C177" t="s">
        <v>92</v>
      </c>
      <c r="D177" t="s">
        <v>64</v>
      </c>
      <c r="E177" t="s">
        <v>344</v>
      </c>
      <c r="F177" s="13">
        <v>1</v>
      </c>
      <c r="G177" s="14">
        <v>2077.91</v>
      </c>
      <c r="H177" s="13">
        <v>466</v>
      </c>
      <c r="I177" t="s">
        <v>77</v>
      </c>
    </row>
    <row r="178" spans="1:9" x14ac:dyDescent="0.3">
      <c r="A178">
        <v>6236</v>
      </c>
      <c r="B178" t="s">
        <v>345</v>
      </c>
      <c r="C178" t="s">
        <v>133</v>
      </c>
      <c r="D178" t="s">
        <v>64</v>
      </c>
      <c r="E178" t="s">
        <v>344</v>
      </c>
      <c r="F178" s="13">
        <v>1</v>
      </c>
      <c r="G178" s="14">
        <v>2542.23</v>
      </c>
      <c r="H178" s="13">
        <v>466</v>
      </c>
      <c r="I178" t="s">
        <v>77</v>
      </c>
    </row>
    <row r="179" spans="1:9" x14ac:dyDescent="0.3">
      <c r="A179">
        <v>320</v>
      </c>
      <c r="B179" t="s">
        <v>346</v>
      </c>
      <c r="C179" t="s">
        <v>95</v>
      </c>
      <c r="D179" t="s">
        <v>65</v>
      </c>
      <c r="E179" t="s">
        <v>347</v>
      </c>
      <c r="F179" s="13">
        <v>1</v>
      </c>
      <c r="G179" s="14">
        <v>780.5</v>
      </c>
      <c r="H179" s="13">
        <v>465</v>
      </c>
      <c r="I179" t="s">
        <v>77</v>
      </c>
    </row>
    <row r="180" spans="1:9" x14ac:dyDescent="0.3">
      <c r="A180">
        <v>7159</v>
      </c>
      <c r="B180" t="s">
        <v>348</v>
      </c>
      <c r="C180" t="s">
        <v>137</v>
      </c>
      <c r="D180" t="s">
        <v>64</v>
      </c>
      <c r="E180" t="s">
        <v>347</v>
      </c>
      <c r="F180" s="13">
        <v>1</v>
      </c>
      <c r="G180" s="14">
        <v>1528.36</v>
      </c>
      <c r="H180" s="13">
        <v>465</v>
      </c>
      <c r="I180" t="s">
        <v>77</v>
      </c>
    </row>
    <row r="181" spans="1:9" x14ac:dyDescent="0.3">
      <c r="A181">
        <v>3090</v>
      </c>
      <c r="B181" t="s">
        <v>346</v>
      </c>
      <c r="C181" t="s">
        <v>137</v>
      </c>
      <c r="D181" t="s">
        <v>64</v>
      </c>
      <c r="E181" t="s">
        <v>349</v>
      </c>
      <c r="F181" s="13">
        <v>1</v>
      </c>
      <c r="G181" s="14">
        <v>2449.39</v>
      </c>
      <c r="H181" s="13">
        <v>464</v>
      </c>
      <c r="I181" t="s">
        <v>77</v>
      </c>
    </row>
    <row r="182" spans="1:9" x14ac:dyDescent="0.3">
      <c r="A182">
        <v>1146</v>
      </c>
      <c r="B182" t="s">
        <v>350</v>
      </c>
      <c r="C182" t="s">
        <v>92</v>
      </c>
      <c r="D182" t="s">
        <v>64</v>
      </c>
      <c r="E182" t="s">
        <v>351</v>
      </c>
      <c r="F182" s="13">
        <v>1</v>
      </c>
      <c r="G182" s="14">
        <v>270.36</v>
      </c>
      <c r="H182" s="13">
        <v>463</v>
      </c>
      <c r="I182" t="s">
        <v>77</v>
      </c>
    </row>
    <row r="183" spans="1:9" x14ac:dyDescent="0.3">
      <c r="A183">
        <v>3406</v>
      </c>
      <c r="B183" t="s">
        <v>352</v>
      </c>
      <c r="C183" t="s">
        <v>123</v>
      </c>
      <c r="D183" t="s">
        <v>65</v>
      </c>
      <c r="E183" t="s">
        <v>351</v>
      </c>
      <c r="F183" s="13">
        <v>1</v>
      </c>
      <c r="G183" s="14">
        <v>1302.83</v>
      </c>
      <c r="H183" s="13">
        <v>463</v>
      </c>
      <c r="I183" t="s">
        <v>77</v>
      </c>
    </row>
    <row r="184" spans="1:9" x14ac:dyDescent="0.3">
      <c r="A184">
        <v>5268</v>
      </c>
      <c r="B184" t="s">
        <v>353</v>
      </c>
      <c r="C184" t="s">
        <v>92</v>
      </c>
      <c r="D184" t="s">
        <v>64</v>
      </c>
      <c r="E184" t="s">
        <v>351</v>
      </c>
      <c r="F184" s="13">
        <v>1</v>
      </c>
      <c r="G184" s="14">
        <v>255.71</v>
      </c>
      <c r="H184" s="13">
        <v>463</v>
      </c>
      <c r="I184" t="s">
        <v>77</v>
      </c>
    </row>
    <row r="185" spans="1:9" x14ac:dyDescent="0.3">
      <c r="A185">
        <v>6108</v>
      </c>
      <c r="B185" t="s">
        <v>354</v>
      </c>
      <c r="C185" t="s">
        <v>95</v>
      </c>
      <c r="D185" t="s">
        <v>65</v>
      </c>
      <c r="E185" t="s">
        <v>351</v>
      </c>
      <c r="F185" s="13">
        <v>1</v>
      </c>
      <c r="G185" s="14">
        <v>1186.18</v>
      </c>
      <c r="H185" s="13">
        <v>463</v>
      </c>
      <c r="I185" t="s">
        <v>77</v>
      </c>
    </row>
    <row r="186" spans="1:9" x14ac:dyDescent="0.3">
      <c r="A186">
        <v>6529</v>
      </c>
      <c r="B186" t="s">
        <v>355</v>
      </c>
      <c r="C186" t="s">
        <v>90</v>
      </c>
      <c r="D186" t="s">
        <v>66</v>
      </c>
      <c r="E186" t="s">
        <v>351</v>
      </c>
      <c r="F186" s="13">
        <v>1</v>
      </c>
      <c r="G186" s="14">
        <v>672.75</v>
      </c>
      <c r="H186" s="13">
        <v>463</v>
      </c>
      <c r="I186" t="s">
        <v>77</v>
      </c>
    </row>
    <row r="187" spans="1:9" x14ac:dyDescent="0.3">
      <c r="A187">
        <v>3567</v>
      </c>
      <c r="B187" t="s">
        <v>302</v>
      </c>
      <c r="C187" t="s">
        <v>121</v>
      </c>
      <c r="D187" t="s">
        <v>67</v>
      </c>
      <c r="E187" t="s">
        <v>356</v>
      </c>
      <c r="F187" s="13">
        <v>1</v>
      </c>
      <c r="G187" s="14">
        <v>158.28</v>
      </c>
      <c r="H187" s="13">
        <v>462</v>
      </c>
      <c r="I187" t="s">
        <v>77</v>
      </c>
    </row>
    <row r="188" spans="1:9" x14ac:dyDescent="0.3">
      <c r="A188">
        <v>5948</v>
      </c>
      <c r="B188" t="s">
        <v>357</v>
      </c>
      <c r="C188" t="s">
        <v>92</v>
      </c>
      <c r="D188" t="s">
        <v>64</v>
      </c>
      <c r="E188" t="s">
        <v>356</v>
      </c>
      <c r="F188" s="13">
        <v>1</v>
      </c>
      <c r="G188" s="14">
        <v>690.2</v>
      </c>
      <c r="H188" s="13">
        <v>462</v>
      </c>
      <c r="I188" t="s">
        <v>77</v>
      </c>
    </row>
    <row r="189" spans="1:9" x14ac:dyDescent="0.3">
      <c r="A189">
        <v>7493</v>
      </c>
      <c r="B189" t="s">
        <v>358</v>
      </c>
      <c r="C189" t="s">
        <v>92</v>
      </c>
      <c r="D189" t="s">
        <v>64</v>
      </c>
      <c r="E189" t="s">
        <v>356</v>
      </c>
      <c r="F189" s="13">
        <v>1</v>
      </c>
      <c r="G189" s="14">
        <v>6597.74</v>
      </c>
      <c r="H189" s="13">
        <v>462</v>
      </c>
      <c r="I189" t="s">
        <v>77</v>
      </c>
    </row>
    <row r="190" spans="1:9" x14ac:dyDescent="0.3">
      <c r="A190">
        <v>6540</v>
      </c>
      <c r="B190" t="s">
        <v>178</v>
      </c>
      <c r="C190" t="s">
        <v>92</v>
      </c>
      <c r="D190" t="s">
        <v>64</v>
      </c>
      <c r="E190" t="s">
        <v>359</v>
      </c>
      <c r="F190" s="13">
        <v>1</v>
      </c>
      <c r="G190" s="14">
        <v>7563.52</v>
      </c>
      <c r="H190" s="13">
        <v>461</v>
      </c>
      <c r="I190" t="s">
        <v>77</v>
      </c>
    </row>
    <row r="191" spans="1:9" x14ac:dyDescent="0.3">
      <c r="A191">
        <v>6707</v>
      </c>
      <c r="B191" t="s">
        <v>360</v>
      </c>
      <c r="C191" t="s">
        <v>114</v>
      </c>
      <c r="D191" t="s">
        <v>66</v>
      </c>
      <c r="E191" t="s">
        <v>359</v>
      </c>
      <c r="F191" s="13">
        <v>1</v>
      </c>
      <c r="G191" s="14">
        <v>289.87</v>
      </c>
      <c r="H191" s="13">
        <v>461</v>
      </c>
      <c r="I191" t="s">
        <v>77</v>
      </c>
    </row>
    <row r="192" spans="1:9" x14ac:dyDescent="0.3">
      <c r="A192">
        <v>1678</v>
      </c>
      <c r="B192" t="s">
        <v>361</v>
      </c>
      <c r="C192" t="s">
        <v>90</v>
      </c>
      <c r="D192" t="s">
        <v>66</v>
      </c>
      <c r="E192" t="s">
        <v>362</v>
      </c>
      <c r="F192" s="13">
        <v>1</v>
      </c>
      <c r="G192" s="14">
        <v>2547.0500000000002</v>
      </c>
      <c r="H192" s="13">
        <v>459</v>
      </c>
      <c r="I192" t="s">
        <v>77</v>
      </c>
    </row>
    <row r="193" spans="1:9" x14ac:dyDescent="0.3">
      <c r="A193">
        <v>8662</v>
      </c>
      <c r="B193" t="s">
        <v>363</v>
      </c>
      <c r="C193" t="s">
        <v>133</v>
      </c>
      <c r="D193" t="s">
        <v>64</v>
      </c>
      <c r="E193" t="s">
        <v>362</v>
      </c>
      <c r="F193" s="13">
        <v>3</v>
      </c>
      <c r="G193" s="14">
        <v>6671.05</v>
      </c>
      <c r="H193" s="13">
        <v>459</v>
      </c>
      <c r="I193" t="s">
        <v>77</v>
      </c>
    </row>
    <row r="194" spans="1:9" x14ac:dyDescent="0.3">
      <c r="A194">
        <v>1290</v>
      </c>
      <c r="B194" t="s">
        <v>364</v>
      </c>
      <c r="C194" t="s">
        <v>92</v>
      </c>
      <c r="D194" t="s">
        <v>64</v>
      </c>
      <c r="E194" t="s">
        <v>365</v>
      </c>
      <c r="F194" s="13">
        <v>1</v>
      </c>
      <c r="G194" s="14">
        <v>86.97</v>
      </c>
      <c r="H194" s="13">
        <v>458</v>
      </c>
      <c r="I194" t="s">
        <v>77</v>
      </c>
    </row>
    <row r="195" spans="1:9" x14ac:dyDescent="0.3">
      <c r="A195">
        <v>2378</v>
      </c>
      <c r="B195" t="s">
        <v>366</v>
      </c>
      <c r="C195" t="s">
        <v>123</v>
      </c>
      <c r="D195" t="s">
        <v>65</v>
      </c>
      <c r="E195" t="s">
        <v>365</v>
      </c>
      <c r="F195" s="13">
        <v>1</v>
      </c>
      <c r="G195" s="14">
        <v>1063.53</v>
      </c>
      <c r="H195" s="13">
        <v>458</v>
      </c>
      <c r="I195" t="s">
        <v>77</v>
      </c>
    </row>
    <row r="196" spans="1:9" x14ac:dyDescent="0.3">
      <c r="A196">
        <v>4092</v>
      </c>
      <c r="B196" t="s">
        <v>162</v>
      </c>
      <c r="C196" t="s">
        <v>137</v>
      </c>
      <c r="D196" t="s">
        <v>64</v>
      </c>
      <c r="E196" t="s">
        <v>365</v>
      </c>
      <c r="F196" s="13">
        <v>1</v>
      </c>
      <c r="G196" s="14">
        <v>801.51</v>
      </c>
      <c r="H196" s="13">
        <v>458</v>
      </c>
      <c r="I196" t="s">
        <v>77</v>
      </c>
    </row>
    <row r="197" spans="1:9" x14ac:dyDescent="0.3">
      <c r="A197">
        <v>996</v>
      </c>
      <c r="B197" t="s">
        <v>367</v>
      </c>
      <c r="C197" t="s">
        <v>137</v>
      </c>
      <c r="D197" t="s">
        <v>64</v>
      </c>
      <c r="E197" t="s">
        <v>368</v>
      </c>
      <c r="F197" s="13">
        <v>1</v>
      </c>
      <c r="G197" s="14">
        <v>1336.44</v>
      </c>
      <c r="H197" s="13">
        <v>457</v>
      </c>
      <c r="I197" t="s">
        <v>77</v>
      </c>
    </row>
    <row r="198" spans="1:9" x14ac:dyDescent="0.3">
      <c r="A198">
        <v>223</v>
      </c>
      <c r="B198" t="s">
        <v>369</v>
      </c>
      <c r="C198" t="s">
        <v>97</v>
      </c>
      <c r="D198" t="s">
        <v>65</v>
      </c>
      <c r="E198" t="s">
        <v>370</v>
      </c>
      <c r="F198" s="13">
        <v>1</v>
      </c>
      <c r="G198" s="14">
        <v>7867.12</v>
      </c>
      <c r="H198" s="13">
        <v>456</v>
      </c>
      <c r="I198" t="s">
        <v>77</v>
      </c>
    </row>
    <row r="199" spans="1:9" x14ac:dyDescent="0.3">
      <c r="A199">
        <v>4271</v>
      </c>
      <c r="B199" t="s">
        <v>371</v>
      </c>
      <c r="C199" t="s">
        <v>103</v>
      </c>
      <c r="D199" t="s">
        <v>67</v>
      </c>
      <c r="E199" t="s">
        <v>372</v>
      </c>
      <c r="F199" s="13">
        <v>1</v>
      </c>
      <c r="G199" s="14">
        <v>5218.79</v>
      </c>
      <c r="H199" s="13">
        <v>455</v>
      </c>
      <c r="I199" t="s">
        <v>77</v>
      </c>
    </row>
    <row r="200" spans="1:9" x14ac:dyDescent="0.3">
      <c r="A200">
        <v>6842</v>
      </c>
      <c r="B200" t="s">
        <v>109</v>
      </c>
      <c r="C200" t="s">
        <v>133</v>
      </c>
      <c r="D200" t="s">
        <v>64</v>
      </c>
      <c r="E200" t="s">
        <v>372</v>
      </c>
      <c r="F200" s="13">
        <v>2</v>
      </c>
      <c r="G200" s="14">
        <v>10769.87</v>
      </c>
      <c r="H200" s="13">
        <v>455</v>
      </c>
      <c r="I200" t="s">
        <v>77</v>
      </c>
    </row>
    <row r="201" spans="1:9" x14ac:dyDescent="0.3">
      <c r="A201">
        <v>3116</v>
      </c>
      <c r="B201" t="s">
        <v>373</v>
      </c>
      <c r="C201" t="s">
        <v>92</v>
      </c>
      <c r="D201" t="s">
        <v>64</v>
      </c>
      <c r="E201" t="s">
        <v>374</v>
      </c>
      <c r="F201" s="13">
        <v>1</v>
      </c>
      <c r="G201" s="14">
        <v>2121.2199999999998</v>
      </c>
      <c r="H201" s="13">
        <v>454</v>
      </c>
      <c r="I201" t="s">
        <v>77</v>
      </c>
    </row>
    <row r="202" spans="1:9" x14ac:dyDescent="0.3">
      <c r="A202">
        <v>8516</v>
      </c>
      <c r="B202" t="s">
        <v>176</v>
      </c>
      <c r="C202" t="s">
        <v>249</v>
      </c>
      <c r="D202" t="s">
        <v>67</v>
      </c>
      <c r="E202" t="s">
        <v>374</v>
      </c>
      <c r="F202" s="13">
        <v>1</v>
      </c>
      <c r="G202" s="14">
        <v>3146.38</v>
      </c>
      <c r="H202" s="13">
        <v>454</v>
      </c>
      <c r="I202" t="s">
        <v>77</v>
      </c>
    </row>
    <row r="203" spans="1:9" x14ac:dyDescent="0.3">
      <c r="A203">
        <v>4864</v>
      </c>
      <c r="B203" t="s">
        <v>277</v>
      </c>
      <c r="C203" t="s">
        <v>123</v>
      </c>
      <c r="D203" t="s">
        <v>65</v>
      </c>
      <c r="E203" t="s">
        <v>375</v>
      </c>
      <c r="F203" s="13">
        <v>1</v>
      </c>
      <c r="G203" s="14">
        <v>898.33</v>
      </c>
      <c r="H203" s="13">
        <v>451</v>
      </c>
      <c r="I203" t="s">
        <v>77</v>
      </c>
    </row>
    <row r="204" spans="1:9" x14ac:dyDescent="0.3">
      <c r="A204">
        <v>7164</v>
      </c>
      <c r="B204" t="s">
        <v>167</v>
      </c>
      <c r="C204" t="s">
        <v>137</v>
      </c>
      <c r="D204" t="s">
        <v>64</v>
      </c>
      <c r="E204" t="s">
        <v>375</v>
      </c>
      <c r="F204" s="13">
        <v>1</v>
      </c>
      <c r="G204" s="14">
        <v>1444.98</v>
      </c>
      <c r="H204" s="13">
        <v>451</v>
      </c>
      <c r="I204" t="s">
        <v>77</v>
      </c>
    </row>
    <row r="205" spans="1:9" x14ac:dyDescent="0.3">
      <c r="A205">
        <v>3400</v>
      </c>
      <c r="B205" t="s">
        <v>376</v>
      </c>
      <c r="C205" t="s">
        <v>92</v>
      </c>
      <c r="D205" t="s">
        <v>64</v>
      </c>
      <c r="E205" t="s">
        <v>377</v>
      </c>
      <c r="F205" s="13">
        <v>1</v>
      </c>
      <c r="G205" s="14">
        <v>6313.87</v>
      </c>
      <c r="H205" s="13">
        <v>450</v>
      </c>
      <c r="I205" t="s">
        <v>77</v>
      </c>
    </row>
    <row r="206" spans="1:9" x14ac:dyDescent="0.3">
      <c r="A206">
        <v>7293</v>
      </c>
      <c r="B206" t="s">
        <v>378</v>
      </c>
      <c r="C206" t="s">
        <v>137</v>
      </c>
      <c r="D206" t="s">
        <v>64</v>
      </c>
      <c r="E206" t="s">
        <v>379</v>
      </c>
      <c r="F206" s="13">
        <v>1</v>
      </c>
      <c r="G206" s="14">
        <v>2234.35</v>
      </c>
      <c r="H206" s="13">
        <v>449</v>
      </c>
      <c r="I206" t="s">
        <v>77</v>
      </c>
    </row>
    <row r="207" spans="1:9" x14ac:dyDescent="0.3">
      <c r="A207">
        <v>1404</v>
      </c>
      <c r="B207" t="s">
        <v>333</v>
      </c>
      <c r="C207" t="s">
        <v>249</v>
      </c>
      <c r="D207" t="s">
        <v>67</v>
      </c>
      <c r="E207" t="s">
        <v>380</v>
      </c>
      <c r="F207" s="13">
        <v>1</v>
      </c>
      <c r="G207" s="14">
        <v>4107.26</v>
      </c>
      <c r="H207" s="13">
        <v>448</v>
      </c>
      <c r="I207" t="s">
        <v>77</v>
      </c>
    </row>
    <row r="208" spans="1:9" x14ac:dyDescent="0.3">
      <c r="A208">
        <v>2456</v>
      </c>
      <c r="B208" t="s">
        <v>381</v>
      </c>
      <c r="C208" t="s">
        <v>123</v>
      </c>
      <c r="D208" t="s">
        <v>65</v>
      </c>
      <c r="E208" t="s">
        <v>380</v>
      </c>
      <c r="F208" s="13">
        <v>1</v>
      </c>
      <c r="G208" s="14">
        <v>497.83</v>
      </c>
      <c r="H208" s="13">
        <v>448</v>
      </c>
      <c r="I208" t="s">
        <v>77</v>
      </c>
    </row>
    <row r="209" spans="1:9" x14ac:dyDescent="0.3">
      <c r="A209">
        <v>4240</v>
      </c>
      <c r="B209" t="s">
        <v>382</v>
      </c>
      <c r="C209" t="s">
        <v>249</v>
      </c>
      <c r="D209" t="s">
        <v>67</v>
      </c>
      <c r="E209" t="s">
        <v>380</v>
      </c>
      <c r="F209" s="13">
        <v>1</v>
      </c>
      <c r="G209" s="14">
        <v>66.73</v>
      </c>
      <c r="H209" s="13">
        <v>448</v>
      </c>
      <c r="I209" t="s">
        <v>77</v>
      </c>
    </row>
    <row r="210" spans="1:9" x14ac:dyDescent="0.3">
      <c r="A210">
        <v>5821</v>
      </c>
      <c r="B210" t="s">
        <v>383</v>
      </c>
      <c r="C210" t="s">
        <v>92</v>
      </c>
      <c r="D210" t="s">
        <v>64</v>
      </c>
      <c r="E210" t="s">
        <v>380</v>
      </c>
      <c r="F210" s="13">
        <v>2</v>
      </c>
      <c r="G210" s="14">
        <v>1829.14</v>
      </c>
      <c r="H210" s="13">
        <v>448</v>
      </c>
      <c r="I210" t="s">
        <v>77</v>
      </c>
    </row>
    <row r="211" spans="1:9" x14ac:dyDescent="0.3">
      <c r="A211">
        <v>6778</v>
      </c>
      <c r="B211" t="s">
        <v>384</v>
      </c>
      <c r="C211" t="s">
        <v>249</v>
      </c>
      <c r="D211" t="s">
        <v>67</v>
      </c>
      <c r="E211" t="s">
        <v>380</v>
      </c>
      <c r="F211" s="13">
        <v>1</v>
      </c>
      <c r="G211" s="14">
        <v>3861.91</v>
      </c>
      <c r="H211" s="13">
        <v>448</v>
      </c>
      <c r="I211" t="s">
        <v>77</v>
      </c>
    </row>
    <row r="212" spans="1:9" x14ac:dyDescent="0.3">
      <c r="A212">
        <v>7037</v>
      </c>
      <c r="B212" t="s">
        <v>385</v>
      </c>
      <c r="C212" t="s">
        <v>123</v>
      </c>
      <c r="D212" t="s">
        <v>65</v>
      </c>
      <c r="E212" t="s">
        <v>380</v>
      </c>
      <c r="F212" s="13">
        <v>1</v>
      </c>
      <c r="G212" s="14">
        <v>1251.04</v>
      </c>
      <c r="H212" s="13">
        <v>448</v>
      </c>
      <c r="I212" t="s">
        <v>77</v>
      </c>
    </row>
    <row r="213" spans="1:9" x14ac:dyDescent="0.3">
      <c r="A213">
        <v>3700</v>
      </c>
      <c r="B213" t="s">
        <v>386</v>
      </c>
      <c r="C213" t="s">
        <v>92</v>
      </c>
      <c r="D213" t="s">
        <v>64</v>
      </c>
      <c r="E213" t="s">
        <v>387</v>
      </c>
      <c r="F213" s="13">
        <v>3</v>
      </c>
      <c r="G213" s="14">
        <v>4061.76</v>
      </c>
      <c r="H213" s="13">
        <v>447</v>
      </c>
      <c r="I213" t="s">
        <v>77</v>
      </c>
    </row>
    <row r="214" spans="1:9" x14ac:dyDescent="0.3">
      <c r="A214">
        <v>8762</v>
      </c>
      <c r="B214" t="s">
        <v>151</v>
      </c>
      <c r="C214" t="s">
        <v>97</v>
      </c>
      <c r="D214" t="s">
        <v>65</v>
      </c>
      <c r="E214" t="s">
        <v>387</v>
      </c>
      <c r="F214" s="13">
        <v>1</v>
      </c>
      <c r="G214" s="14">
        <v>384.81</v>
      </c>
      <c r="H214" s="13">
        <v>447</v>
      </c>
      <c r="I214" t="s">
        <v>77</v>
      </c>
    </row>
    <row r="215" spans="1:9" x14ac:dyDescent="0.3">
      <c r="A215">
        <v>264</v>
      </c>
      <c r="B215" t="s">
        <v>388</v>
      </c>
      <c r="C215" t="s">
        <v>103</v>
      </c>
      <c r="D215" t="s">
        <v>67</v>
      </c>
      <c r="E215" t="s">
        <v>389</v>
      </c>
      <c r="F215" s="13">
        <v>1</v>
      </c>
      <c r="G215" s="14">
        <v>4319.22</v>
      </c>
      <c r="H215" s="13">
        <v>446</v>
      </c>
      <c r="I215" t="s">
        <v>77</v>
      </c>
    </row>
    <row r="216" spans="1:9" x14ac:dyDescent="0.3">
      <c r="A216">
        <v>925</v>
      </c>
      <c r="B216" t="s">
        <v>390</v>
      </c>
      <c r="C216" t="s">
        <v>249</v>
      </c>
      <c r="D216" t="s">
        <v>67</v>
      </c>
      <c r="E216" t="s">
        <v>389</v>
      </c>
      <c r="F216" s="13">
        <v>1</v>
      </c>
      <c r="G216" s="14">
        <v>1137.31</v>
      </c>
      <c r="H216" s="13">
        <v>446</v>
      </c>
      <c r="I216" t="s">
        <v>77</v>
      </c>
    </row>
    <row r="217" spans="1:9" x14ac:dyDescent="0.3">
      <c r="A217">
        <v>1129</v>
      </c>
      <c r="B217" t="s">
        <v>391</v>
      </c>
      <c r="C217" t="s">
        <v>92</v>
      </c>
      <c r="D217" t="s">
        <v>64</v>
      </c>
      <c r="E217" t="s">
        <v>389</v>
      </c>
      <c r="F217" s="13">
        <v>2</v>
      </c>
      <c r="G217" s="14">
        <v>2065.5</v>
      </c>
      <c r="H217" s="13">
        <v>446</v>
      </c>
      <c r="I217" t="s">
        <v>77</v>
      </c>
    </row>
    <row r="218" spans="1:9" x14ac:dyDescent="0.3">
      <c r="A218">
        <v>1806</v>
      </c>
      <c r="B218" t="s">
        <v>185</v>
      </c>
      <c r="C218" t="s">
        <v>100</v>
      </c>
      <c r="D218" t="s">
        <v>66</v>
      </c>
      <c r="E218" t="s">
        <v>389</v>
      </c>
      <c r="F218" s="13">
        <v>1</v>
      </c>
      <c r="G218" s="14">
        <v>1947.09</v>
      </c>
      <c r="H218" s="13">
        <v>446</v>
      </c>
      <c r="I218" t="s">
        <v>77</v>
      </c>
    </row>
    <row r="219" spans="1:9" x14ac:dyDescent="0.3">
      <c r="A219">
        <v>6835</v>
      </c>
      <c r="B219" t="s">
        <v>392</v>
      </c>
      <c r="C219" t="s">
        <v>92</v>
      </c>
      <c r="D219" t="s">
        <v>64</v>
      </c>
      <c r="E219" t="s">
        <v>389</v>
      </c>
      <c r="F219" s="13">
        <v>1</v>
      </c>
      <c r="G219" s="14">
        <v>1165.81</v>
      </c>
      <c r="H219" s="13">
        <v>446</v>
      </c>
      <c r="I219" t="s">
        <v>77</v>
      </c>
    </row>
    <row r="220" spans="1:9" x14ac:dyDescent="0.3">
      <c r="A220">
        <v>279</v>
      </c>
      <c r="B220" t="s">
        <v>393</v>
      </c>
      <c r="C220" t="s">
        <v>133</v>
      </c>
      <c r="D220" t="s">
        <v>64</v>
      </c>
      <c r="E220" t="s">
        <v>394</v>
      </c>
      <c r="F220" s="13">
        <v>1</v>
      </c>
      <c r="G220" s="14">
        <v>1481.55</v>
      </c>
      <c r="H220" s="13">
        <v>445</v>
      </c>
      <c r="I220" t="s">
        <v>77</v>
      </c>
    </row>
    <row r="221" spans="1:9" x14ac:dyDescent="0.3">
      <c r="A221">
        <v>644</v>
      </c>
      <c r="B221" t="s">
        <v>395</v>
      </c>
      <c r="C221" t="s">
        <v>123</v>
      </c>
      <c r="D221" t="s">
        <v>65</v>
      </c>
      <c r="E221" t="s">
        <v>394</v>
      </c>
      <c r="F221" s="13">
        <v>1</v>
      </c>
      <c r="G221" s="14">
        <v>7417.33</v>
      </c>
      <c r="H221" s="13">
        <v>445</v>
      </c>
      <c r="I221" t="s">
        <v>77</v>
      </c>
    </row>
    <row r="222" spans="1:9" x14ac:dyDescent="0.3">
      <c r="A222">
        <v>654</v>
      </c>
      <c r="B222" t="s">
        <v>396</v>
      </c>
      <c r="C222" t="s">
        <v>92</v>
      </c>
      <c r="D222" t="s">
        <v>64</v>
      </c>
      <c r="E222" t="s">
        <v>394</v>
      </c>
      <c r="F222" s="13">
        <v>1</v>
      </c>
      <c r="G222" s="14">
        <v>3306.21</v>
      </c>
      <c r="H222" s="13">
        <v>445</v>
      </c>
      <c r="I222" t="s">
        <v>77</v>
      </c>
    </row>
    <row r="223" spans="1:9" x14ac:dyDescent="0.3">
      <c r="A223">
        <v>3963</v>
      </c>
      <c r="B223" t="s">
        <v>208</v>
      </c>
      <c r="C223" t="s">
        <v>95</v>
      </c>
      <c r="D223" t="s">
        <v>65</v>
      </c>
      <c r="E223" t="s">
        <v>394</v>
      </c>
      <c r="F223" s="13">
        <v>2</v>
      </c>
      <c r="G223" s="14">
        <v>477.31</v>
      </c>
      <c r="H223" s="13">
        <v>445</v>
      </c>
      <c r="I223" t="s">
        <v>77</v>
      </c>
    </row>
    <row r="224" spans="1:9" x14ac:dyDescent="0.3">
      <c r="A224">
        <v>6919</v>
      </c>
      <c r="B224" t="s">
        <v>175</v>
      </c>
      <c r="C224" t="s">
        <v>114</v>
      </c>
      <c r="D224" t="s">
        <v>66</v>
      </c>
      <c r="E224" t="s">
        <v>394</v>
      </c>
      <c r="F224" s="13">
        <v>1</v>
      </c>
      <c r="G224" s="14">
        <v>2776.55</v>
      </c>
      <c r="H224" s="13">
        <v>445</v>
      </c>
      <c r="I224" t="s">
        <v>77</v>
      </c>
    </row>
    <row r="225" spans="1:9" x14ac:dyDescent="0.3">
      <c r="A225">
        <v>7307</v>
      </c>
      <c r="B225" t="s">
        <v>397</v>
      </c>
      <c r="C225" t="s">
        <v>137</v>
      </c>
      <c r="D225" t="s">
        <v>64</v>
      </c>
      <c r="E225" t="s">
        <v>394</v>
      </c>
      <c r="F225" s="13">
        <v>1</v>
      </c>
      <c r="G225" s="14">
        <v>2977.53</v>
      </c>
      <c r="H225" s="13">
        <v>445</v>
      </c>
      <c r="I225" t="s">
        <v>77</v>
      </c>
    </row>
    <row r="226" spans="1:9" x14ac:dyDescent="0.3">
      <c r="A226">
        <v>1031</v>
      </c>
      <c r="B226" t="s">
        <v>176</v>
      </c>
      <c r="C226" t="s">
        <v>123</v>
      </c>
      <c r="D226" t="s">
        <v>65</v>
      </c>
      <c r="E226" t="s">
        <v>398</v>
      </c>
      <c r="F226" s="13">
        <v>2</v>
      </c>
      <c r="G226" s="14">
        <v>2827.89</v>
      </c>
      <c r="H226" s="13">
        <v>444</v>
      </c>
      <c r="I226" t="s">
        <v>77</v>
      </c>
    </row>
    <row r="227" spans="1:9" x14ac:dyDescent="0.3">
      <c r="A227">
        <v>7977</v>
      </c>
      <c r="B227" t="s">
        <v>399</v>
      </c>
      <c r="C227" t="s">
        <v>92</v>
      </c>
      <c r="D227" t="s">
        <v>64</v>
      </c>
      <c r="E227" t="s">
        <v>398</v>
      </c>
      <c r="F227" s="13">
        <v>2</v>
      </c>
      <c r="G227" s="14">
        <v>4294.93</v>
      </c>
      <c r="H227" s="13">
        <v>444</v>
      </c>
      <c r="I227" t="s">
        <v>77</v>
      </c>
    </row>
    <row r="228" spans="1:9" x14ac:dyDescent="0.3">
      <c r="A228">
        <v>8884</v>
      </c>
      <c r="B228" t="s">
        <v>400</v>
      </c>
      <c r="C228" t="s">
        <v>114</v>
      </c>
      <c r="D228" t="s">
        <v>66</v>
      </c>
      <c r="E228" t="s">
        <v>401</v>
      </c>
      <c r="F228" s="13">
        <v>2</v>
      </c>
      <c r="G228" s="14">
        <v>3327.1</v>
      </c>
      <c r="H228" s="13">
        <v>443</v>
      </c>
      <c r="I228" t="s">
        <v>77</v>
      </c>
    </row>
    <row r="229" spans="1:9" x14ac:dyDescent="0.3">
      <c r="A229">
        <v>3967</v>
      </c>
      <c r="B229" t="s">
        <v>402</v>
      </c>
      <c r="C229" t="s">
        <v>137</v>
      </c>
      <c r="D229" t="s">
        <v>64</v>
      </c>
      <c r="E229" t="s">
        <v>403</v>
      </c>
      <c r="F229" s="13">
        <v>1</v>
      </c>
      <c r="G229" s="14">
        <v>118.86</v>
      </c>
      <c r="H229" s="13">
        <v>442</v>
      </c>
      <c r="I229" t="s">
        <v>77</v>
      </c>
    </row>
    <row r="230" spans="1:9" x14ac:dyDescent="0.3">
      <c r="A230">
        <v>3711</v>
      </c>
      <c r="B230" t="s">
        <v>404</v>
      </c>
      <c r="C230" t="s">
        <v>97</v>
      </c>
      <c r="D230" t="s">
        <v>65</v>
      </c>
      <c r="E230" t="s">
        <v>405</v>
      </c>
      <c r="F230" s="13">
        <v>1</v>
      </c>
      <c r="G230" s="14">
        <v>1857.39</v>
      </c>
      <c r="H230" s="13">
        <v>441</v>
      </c>
      <c r="I230" t="s">
        <v>77</v>
      </c>
    </row>
    <row r="231" spans="1:9" x14ac:dyDescent="0.3">
      <c r="A231">
        <v>4648</v>
      </c>
      <c r="B231" t="s">
        <v>406</v>
      </c>
      <c r="C231" t="s">
        <v>97</v>
      </c>
      <c r="D231" t="s">
        <v>65</v>
      </c>
      <c r="E231" t="s">
        <v>405</v>
      </c>
      <c r="F231" s="13">
        <v>1</v>
      </c>
      <c r="G231" s="14">
        <v>4155.6899999999996</v>
      </c>
      <c r="H231" s="13">
        <v>441</v>
      </c>
      <c r="I231" t="s">
        <v>77</v>
      </c>
    </row>
    <row r="232" spans="1:9" x14ac:dyDescent="0.3">
      <c r="A232">
        <v>6090</v>
      </c>
      <c r="B232" t="s">
        <v>407</v>
      </c>
      <c r="C232" t="s">
        <v>137</v>
      </c>
      <c r="D232" t="s">
        <v>64</v>
      </c>
      <c r="E232" t="s">
        <v>405</v>
      </c>
      <c r="F232" s="13">
        <v>1</v>
      </c>
      <c r="G232" s="14">
        <v>440.9</v>
      </c>
      <c r="H232" s="13">
        <v>441</v>
      </c>
      <c r="I232" t="s">
        <v>77</v>
      </c>
    </row>
    <row r="233" spans="1:9" x14ac:dyDescent="0.3">
      <c r="A233">
        <v>7399</v>
      </c>
      <c r="B233" t="s">
        <v>408</v>
      </c>
      <c r="C233" t="s">
        <v>92</v>
      </c>
      <c r="D233" t="s">
        <v>64</v>
      </c>
      <c r="E233" t="s">
        <v>405</v>
      </c>
      <c r="F233" s="13">
        <v>1</v>
      </c>
      <c r="G233" s="14">
        <v>1564.2</v>
      </c>
      <c r="H233" s="13">
        <v>441</v>
      </c>
      <c r="I233" t="s">
        <v>77</v>
      </c>
    </row>
    <row r="234" spans="1:9" x14ac:dyDescent="0.3">
      <c r="A234">
        <v>590</v>
      </c>
      <c r="B234" t="s">
        <v>409</v>
      </c>
      <c r="C234" t="s">
        <v>92</v>
      </c>
      <c r="D234" t="s">
        <v>64</v>
      </c>
      <c r="E234" t="s">
        <v>410</v>
      </c>
      <c r="F234" s="13">
        <v>1</v>
      </c>
      <c r="G234" s="14">
        <v>706.41</v>
      </c>
      <c r="H234" s="13">
        <v>440</v>
      </c>
      <c r="I234" t="s">
        <v>77</v>
      </c>
    </row>
    <row r="235" spans="1:9" x14ac:dyDescent="0.3">
      <c r="A235">
        <v>685</v>
      </c>
      <c r="B235" t="s">
        <v>411</v>
      </c>
      <c r="C235" t="s">
        <v>123</v>
      </c>
      <c r="D235" t="s">
        <v>65</v>
      </c>
      <c r="E235" t="s">
        <v>412</v>
      </c>
      <c r="F235" s="13">
        <v>2</v>
      </c>
      <c r="G235" s="14">
        <v>3768.2</v>
      </c>
      <c r="H235" s="13">
        <v>439</v>
      </c>
      <c r="I235" t="s">
        <v>77</v>
      </c>
    </row>
    <row r="236" spans="1:9" x14ac:dyDescent="0.3">
      <c r="A236">
        <v>3579</v>
      </c>
      <c r="B236" t="s">
        <v>413</v>
      </c>
      <c r="C236" t="s">
        <v>90</v>
      </c>
      <c r="D236" t="s">
        <v>66</v>
      </c>
      <c r="E236" t="s">
        <v>412</v>
      </c>
      <c r="F236" s="13">
        <v>1</v>
      </c>
      <c r="G236" s="14">
        <v>5457.67</v>
      </c>
      <c r="H236" s="13">
        <v>439</v>
      </c>
      <c r="I236" t="s">
        <v>77</v>
      </c>
    </row>
    <row r="237" spans="1:9" x14ac:dyDescent="0.3">
      <c r="A237">
        <v>3776</v>
      </c>
      <c r="B237" t="s">
        <v>414</v>
      </c>
      <c r="C237" t="s">
        <v>92</v>
      </c>
      <c r="D237" t="s">
        <v>64</v>
      </c>
      <c r="E237" t="s">
        <v>412</v>
      </c>
      <c r="F237" s="13">
        <v>1</v>
      </c>
      <c r="G237" s="14">
        <v>151.99</v>
      </c>
      <c r="H237" s="13">
        <v>439</v>
      </c>
      <c r="I237" t="s">
        <v>77</v>
      </c>
    </row>
    <row r="238" spans="1:9" x14ac:dyDescent="0.3">
      <c r="A238">
        <v>4664</v>
      </c>
      <c r="B238" t="s">
        <v>415</v>
      </c>
      <c r="C238" t="s">
        <v>100</v>
      </c>
      <c r="D238" t="s">
        <v>66</v>
      </c>
      <c r="E238" t="s">
        <v>412</v>
      </c>
      <c r="F238" s="13">
        <v>2</v>
      </c>
      <c r="G238" s="14">
        <v>938.05</v>
      </c>
      <c r="H238" s="13">
        <v>439</v>
      </c>
      <c r="I238" t="s">
        <v>77</v>
      </c>
    </row>
    <row r="239" spans="1:9" x14ac:dyDescent="0.3">
      <c r="A239">
        <v>5117</v>
      </c>
      <c r="B239" t="s">
        <v>149</v>
      </c>
      <c r="C239" t="s">
        <v>123</v>
      </c>
      <c r="D239" t="s">
        <v>65</v>
      </c>
      <c r="E239" t="s">
        <v>412</v>
      </c>
      <c r="F239" s="13">
        <v>1</v>
      </c>
      <c r="G239" s="14">
        <v>481.13</v>
      </c>
      <c r="H239" s="13">
        <v>439</v>
      </c>
      <c r="I239" t="s">
        <v>77</v>
      </c>
    </row>
    <row r="240" spans="1:9" x14ac:dyDescent="0.3">
      <c r="A240">
        <v>5395</v>
      </c>
      <c r="B240" t="s">
        <v>416</v>
      </c>
      <c r="C240" t="s">
        <v>95</v>
      </c>
      <c r="D240" t="s">
        <v>65</v>
      </c>
      <c r="E240" t="s">
        <v>412</v>
      </c>
      <c r="F240" s="13">
        <v>2</v>
      </c>
      <c r="G240" s="14">
        <v>1109.95</v>
      </c>
      <c r="H240" s="13">
        <v>439</v>
      </c>
      <c r="I240" t="s">
        <v>77</v>
      </c>
    </row>
    <row r="241" spans="1:9" x14ac:dyDescent="0.3">
      <c r="A241">
        <v>7200</v>
      </c>
      <c r="B241" t="s">
        <v>417</v>
      </c>
      <c r="C241" t="s">
        <v>92</v>
      </c>
      <c r="D241" t="s">
        <v>64</v>
      </c>
      <c r="E241" t="s">
        <v>412</v>
      </c>
      <c r="F241" s="13">
        <v>1</v>
      </c>
      <c r="G241" s="14">
        <v>1196</v>
      </c>
      <c r="H241" s="13">
        <v>439</v>
      </c>
      <c r="I241" t="s">
        <v>77</v>
      </c>
    </row>
    <row r="242" spans="1:9" x14ac:dyDescent="0.3">
      <c r="A242">
        <v>8723</v>
      </c>
      <c r="B242" t="s">
        <v>253</v>
      </c>
      <c r="C242" t="s">
        <v>92</v>
      </c>
      <c r="D242" t="s">
        <v>64</v>
      </c>
      <c r="E242" t="s">
        <v>412</v>
      </c>
      <c r="F242" s="13">
        <v>1</v>
      </c>
      <c r="G242" s="14">
        <v>248.42</v>
      </c>
      <c r="H242" s="13">
        <v>439</v>
      </c>
      <c r="I242" t="s">
        <v>77</v>
      </c>
    </row>
    <row r="243" spans="1:9" x14ac:dyDescent="0.3">
      <c r="A243">
        <v>5781</v>
      </c>
      <c r="B243" t="s">
        <v>418</v>
      </c>
      <c r="C243" t="s">
        <v>103</v>
      </c>
      <c r="D243" t="s">
        <v>67</v>
      </c>
      <c r="E243" t="s">
        <v>419</v>
      </c>
      <c r="F243" s="13">
        <v>1</v>
      </c>
      <c r="G243" s="14">
        <v>3788.68</v>
      </c>
      <c r="H243" s="13">
        <v>438</v>
      </c>
      <c r="I243" t="s">
        <v>77</v>
      </c>
    </row>
    <row r="244" spans="1:9" x14ac:dyDescent="0.3">
      <c r="A244">
        <v>6011</v>
      </c>
      <c r="B244" t="s">
        <v>384</v>
      </c>
      <c r="C244" t="s">
        <v>137</v>
      </c>
      <c r="D244" t="s">
        <v>64</v>
      </c>
      <c r="E244" t="s">
        <v>419</v>
      </c>
      <c r="F244" s="13">
        <v>1</v>
      </c>
      <c r="G244" s="14">
        <v>88.41</v>
      </c>
      <c r="H244" s="13">
        <v>438</v>
      </c>
      <c r="I244" t="s">
        <v>77</v>
      </c>
    </row>
    <row r="245" spans="1:9" x14ac:dyDescent="0.3">
      <c r="A245">
        <v>8071</v>
      </c>
      <c r="B245" t="s">
        <v>420</v>
      </c>
      <c r="C245" t="s">
        <v>92</v>
      </c>
      <c r="D245" t="s">
        <v>64</v>
      </c>
      <c r="E245" t="s">
        <v>419</v>
      </c>
      <c r="F245" s="13">
        <v>1</v>
      </c>
      <c r="G245" s="14">
        <v>62.7</v>
      </c>
      <c r="H245" s="13">
        <v>438</v>
      </c>
      <c r="I245" t="s">
        <v>77</v>
      </c>
    </row>
    <row r="246" spans="1:9" x14ac:dyDescent="0.3">
      <c r="A246">
        <v>1091</v>
      </c>
      <c r="B246" t="s">
        <v>421</v>
      </c>
      <c r="C246" t="s">
        <v>133</v>
      </c>
      <c r="D246" t="s">
        <v>64</v>
      </c>
      <c r="E246" t="s">
        <v>422</v>
      </c>
      <c r="F246" s="13">
        <v>1</v>
      </c>
      <c r="G246" s="14">
        <v>498.47</v>
      </c>
      <c r="H246" s="13">
        <v>437</v>
      </c>
      <c r="I246" t="s">
        <v>77</v>
      </c>
    </row>
    <row r="247" spans="1:9" x14ac:dyDescent="0.3">
      <c r="A247">
        <v>3959</v>
      </c>
      <c r="B247" t="s">
        <v>149</v>
      </c>
      <c r="C247" t="s">
        <v>95</v>
      </c>
      <c r="D247" t="s">
        <v>65</v>
      </c>
      <c r="E247" t="s">
        <v>422</v>
      </c>
      <c r="F247" s="13">
        <v>1</v>
      </c>
      <c r="G247" s="14">
        <v>275.04000000000002</v>
      </c>
      <c r="H247" s="13">
        <v>437</v>
      </c>
      <c r="I247" t="s">
        <v>77</v>
      </c>
    </row>
    <row r="248" spans="1:9" x14ac:dyDescent="0.3">
      <c r="A248">
        <v>4746</v>
      </c>
      <c r="B248" t="s">
        <v>167</v>
      </c>
      <c r="C248" t="s">
        <v>92</v>
      </c>
      <c r="D248" t="s">
        <v>64</v>
      </c>
      <c r="E248" t="s">
        <v>422</v>
      </c>
      <c r="F248" s="13">
        <v>2</v>
      </c>
      <c r="G248" s="14">
        <v>3344.66</v>
      </c>
      <c r="H248" s="13">
        <v>437</v>
      </c>
      <c r="I248" t="s">
        <v>77</v>
      </c>
    </row>
    <row r="249" spans="1:9" x14ac:dyDescent="0.3">
      <c r="A249">
        <v>8084</v>
      </c>
      <c r="B249" t="s">
        <v>353</v>
      </c>
      <c r="C249" t="s">
        <v>114</v>
      </c>
      <c r="D249" t="s">
        <v>66</v>
      </c>
      <c r="E249" t="s">
        <v>422</v>
      </c>
      <c r="F249" s="13">
        <v>1</v>
      </c>
      <c r="G249" s="14">
        <v>3639.51</v>
      </c>
      <c r="H249" s="13">
        <v>437</v>
      </c>
      <c r="I249" t="s">
        <v>77</v>
      </c>
    </row>
    <row r="250" spans="1:9" x14ac:dyDescent="0.3">
      <c r="A250">
        <v>1689</v>
      </c>
      <c r="B250" t="s">
        <v>423</v>
      </c>
      <c r="C250" t="s">
        <v>133</v>
      </c>
      <c r="D250" t="s">
        <v>64</v>
      </c>
      <c r="E250" t="s">
        <v>424</v>
      </c>
      <c r="F250" s="13">
        <v>1</v>
      </c>
      <c r="G250" s="14">
        <v>4228.9799999999996</v>
      </c>
      <c r="H250" s="13">
        <v>436</v>
      </c>
      <c r="I250" t="s">
        <v>77</v>
      </c>
    </row>
    <row r="251" spans="1:9" x14ac:dyDescent="0.3">
      <c r="A251">
        <v>6554</v>
      </c>
      <c r="B251" t="s">
        <v>163</v>
      </c>
      <c r="C251" t="s">
        <v>92</v>
      </c>
      <c r="D251" t="s">
        <v>64</v>
      </c>
      <c r="E251" t="s">
        <v>424</v>
      </c>
      <c r="F251" s="13">
        <v>1</v>
      </c>
      <c r="G251" s="14">
        <v>266.91000000000003</v>
      </c>
      <c r="H251" s="13">
        <v>436</v>
      </c>
      <c r="I251" t="s">
        <v>77</v>
      </c>
    </row>
    <row r="252" spans="1:9" x14ac:dyDescent="0.3">
      <c r="A252">
        <v>2346</v>
      </c>
      <c r="B252" t="s">
        <v>175</v>
      </c>
      <c r="C252" t="s">
        <v>97</v>
      </c>
      <c r="D252" t="s">
        <v>65</v>
      </c>
      <c r="E252" t="s">
        <v>425</v>
      </c>
      <c r="F252" s="13">
        <v>1</v>
      </c>
      <c r="G252" s="14">
        <v>626.47</v>
      </c>
      <c r="H252" s="13">
        <v>435</v>
      </c>
      <c r="I252" t="s">
        <v>77</v>
      </c>
    </row>
    <row r="253" spans="1:9" x14ac:dyDescent="0.3">
      <c r="A253">
        <v>6140</v>
      </c>
      <c r="B253" t="s">
        <v>109</v>
      </c>
      <c r="C253" t="s">
        <v>90</v>
      </c>
      <c r="D253" t="s">
        <v>66</v>
      </c>
      <c r="E253" t="s">
        <v>425</v>
      </c>
      <c r="F253" s="13">
        <v>2</v>
      </c>
      <c r="G253" s="14">
        <v>2043.86</v>
      </c>
      <c r="H253" s="13">
        <v>435</v>
      </c>
      <c r="I253" t="s">
        <v>77</v>
      </c>
    </row>
    <row r="254" spans="1:9" x14ac:dyDescent="0.3">
      <c r="A254">
        <v>7811</v>
      </c>
      <c r="B254" t="s">
        <v>426</v>
      </c>
      <c r="C254" t="s">
        <v>92</v>
      </c>
      <c r="D254" t="s">
        <v>64</v>
      </c>
      <c r="E254" t="s">
        <v>425</v>
      </c>
      <c r="F254" s="13">
        <v>2</v>
      </c>
      <c r="G254" s="14">
        <v>805.36</v>
      </c>
      <c r="H254" s="13">
        <v>435</v>
      </c>
      <c r="I254" t="s">
        <v>77</v>
      </c>
    </row>
    <row r="255" spans="1:9" x14ac:dyDescent="0.3">
      <c r="A255">
        <v>1931</v>
      </c>
      <c r="B255" t="s">
        <v>323</v>
      </c>
      <c r="C255" t="s">
        <v>100</v>
      </c>
      <c r="D255" t="s">
        <v>66</v>
      </c>
      <c r="E255" t="s">
        <v>427</v>
      </c>
      <c r="F255" s="13">
        <v>2</v>
      </c>
      <c r="G255" s="14">
        <v>844.84</v>
      </c>
      <c r="H255" s="13">
        <v>434</v>
      </c>
      <c r="I255" t="s">
        <v>77</v>
      </c>
    </row>
    <row r="256" spans="1:9" x14ac:dyDescent="0.3">
      <c r="A256">
        <v>3012</v>
      </c>
      <c r="B256" t="s">
        <v>428</v>
      </c>
      <c r="C256" t="s">
        <v>123</v>
      </c>
      <c r="D256" t="s">
        <v>65</v>
      </c>
      <c r="E256" t="s">
        <v>429</v>
      </c>
      <c r="F256" s="13">
        <v>2</v>
      </c>
      <c r="G256" s="14">
        <v>4182.7700000000004</v>
      </c>
      <c r="H256" s="13">
        <v>433</v>
      </c>
      <c r="I256" t="s">
        <v>77</v>
      </c>
    </row>
    <row r="257" spans="1:9" x14ac:dyDescent="0.3">
      <c r="A257">
        <v>7504</v>
      </c>
      <c r="B257" t="s">
        <v>430</v>
      </c>
      <c r="C257" t="s">
        <v>87</v>
      </c>
      <c r="D257" t="s">
        <v>64</v>
      </c>
      <c r="E257" t="s">
        <v>429</v>
      </c>
      <c r="F257" s="13">
        <v>1</v>
      </c>
      <c r="G257" s="14">
        <v>546.62</v>
      </c>
      <c r="H257" s="13">
        <v>433</v>
      </c>
      <c r="I257" t="s">
        <v>77</v>
      </c>
    </row>
    <row r="258" spans="1:9" x14ac:dyDescent="0.3">
      <c r="A258">
        <v>4445</v>
      </c>
      <c r="B258" t="s">
        <v>431</v>
      </c>
      <c r="C258" t="s">
        <v>90</v>
      </c>
      <c r="D258" t="s">
        <v>66</v>
      </c>
      <c r="E258" t="s">
        <v>432</v>
      </c>
      <c r="F258" s="13">
        <v>1</v>
      </c>
      <c r="G258" s="14">
        <v>282.19</v>
      </c>
      <c r="H258" s="13">
        <v>432</v>
      </c>
      <c r="I258" t="s">
        <v>77</v>
      </c>
    </row>
    <row r="259" spans="1:9" x14ac:dyDescent="0.3">
      <c r="A259">
        <v>37</v>
      </c>
      <c r="B259" t="s">
        <v>348</v>
      </c>
      <c r="C259" t="s">
        <v>133</v>
      </c>
      <c r="D259" t="s">
        <v>64</v>
      </c>
      <c r="E259" t="s">
        <v>433</v>
      </c>
      <c r="F259" s="13">
        <v>2</v>
      </c>
      <c r="G259" s="14">
        <v>2631.96</v>
      </c>
      <c r="H259" s="13">
        <v>431</v>
      </c>
      <c r="I259" t="s">
        <v>77</v>
      </c>
    </row>
    <row r="260" spans="1:9" x14ac:dyDescent="0.3">
      <c r="A260">
        <v>496</v>
      </c>
      <c r="B260" t="s">
        <v>434</v>
      </c>
      <c r="C260" t="s">
        <v>90</v>
      </c>
      <c r="D260" t="s">
        <v>66</v>
      </c>
      <c r="E260" t="s">
        <v>433</v>
      </c>
      <c r="F260" s="13">
        <v>1</v>
      </c>
      <c r="G260" s="14">
        <v>805.66</v>
      </c>
      <c r="H260" s="13">
        <v>431</v>
      </c>
      <c r="I260" t="s">
        <v>77</v>
      </c>
    </row>
    <row r="261" spans="1:9" x14ac:dyDescent="0.3">
      <c r="A261">
        <v>1234</v>
      </c>
      <c r="B261" t="s">
        <v>435</v>
      </c>
      <c r="C261" t="s">
        <v>123</v>
      </c>
      <c r="D261" t="s">
        <v>65</v>
      </c>
      <c r="E261" t="s">
        <v>433</v>
      </c>
      <c r="F261" s="13">
        <v>3</v>
      </c>
      <c r="G261" s="14">
        <v>12687.05</v>
      </c>
      <c r="H261" s="13">
        <v>431</v>
      </c>
      <c r="I261" t="s">
        <v>77</v>
      </c>
    </row>
    <row r="262" spans="1:9" x14ac:dyDescent="0.3">
      <c r="A262">
        <v>4878</v>
      </c>
      <c r="B262" t="s">
        <v>155</v>
      </c>
      <c r="C262" t="s">
        <v>92</v>
      </c>
      <c r="D262" t="s">
        <v>64</v>
      </c>
      <c r="E262" t="s">
        <v>433</v>
      </c>
      <c r="F262" s="13">
        <v>1</v>
      </c>
      <c r="G262" s="14">
        <v>3919.46</v>
      </c>
      <c r="H262" s="13">
        <v>431</v>
      </c>
      <c r="I262" t="s">
        <v>77</v>
      </c>
    </row>
    <row r="263" spans="1:9" x14ac:dyDescent="0.3">
      <c r="A263">
        <v>3948</v>
      </c>
      <c r="B263" t="s">
        <v>436</v>
      </c>
      <c r="C263" t="s">
        <v>92</v>
      </c>
      <c r="D263" t="s">
        <v>64</v>
      </c>
      <c r="E263" t="s">
        <v>437</v>
      </c>
      <c r="F263" s="13">
        <v>1</v>
      </c>
      <c r="G263" s="14">
        <v>662.97</v>
      </c>
      <c r="H263" s="13">
        <v>430</v>
      </c>
      <c r="I263" t="s">
        <v>77</v>
      </c>
    </row>
    <row r="264" spans="1:9" x14ac:dyDescent="0.3">
      <c r="A264">
        <v>2227</v>
      </c>
      <c r="B264" t="s">
        <v>438</v>
      </c>
      <c r="C264" t="s">
        <v>103</v>
      </c>
      <c r="D264" t="s">
        <v>67</v>
      </c>
      <c r="E264" t="s">
        <v>439</v>
      </c>
      <c r="F264" s="13">
        <v>2</v>
      </c>
      <c r="G264" s="14">
        <v>7642.11</v>
      </c>
      <c r="H264" s="13">
        <v>429</v>
      </c>
      <c r="I264" t="s">
        <v>77</v>
      </c>
    </row>
    <row r="265" spans="1:9" x14ac:dyDescent="0.3">
      <c r="A265">
        <v>3492</v>
      </c>
      <c r="B265" t="s">
        <v>440</v>
      </c>
      <c r="C265" t="s">
        <v>137</v>
      </c>
      <c r="D265" t="s">
        <v>64</v>
      </c>
      <c r="E265" t="s">
        <v>441</v>
      </c>
      <c r="F265" s="13">
        <v>1</v>
      </c>
      <c r="G265" s="14">
        <v>1442.83</v>
      </c>
      <c r="H265" s="13">
        <v>428</v>
      </c>
      <c r="I265" t="s">
        <v>77</v>
      </c>
    </row>
    <row r="266" spans="1:9" x14ac:dyDescent="0.3">
      <c r="A266">
        <v>7184</v>
      </c>
      <c r="B266" t="s">
        <v>442</v>
      </c>
      <c r="C266" t="s">
        <v>92</v>
      </c>
      <c r="D266" t="s">
        <v>64</v>
      </c>
      <c r="E266" t="s">
        <v>441</v>
      </c>
      <c r="F266" s="13">
        <v>1</v>
      </c>
      <c r="G266" s="14">
        <v>4382.8599999999997</v>
      </c>
      <c r="H266" s="13">
        <v>428</v>
      </c>
      <c r="I266" t="s">
        <v>77</v>
      </c>
    </row>
    <row r="267" spans="1:9" x14ac:dyDescent="0.3">
      <c r="A267">
        <v>1230</v>
      </c>
      <c r="B267" t="s">
        <v>443</v>
      </c>
      <c r="C267" t="s">
        <v>95</v>
      </c>
      <c r="D267" t="s">
        <v>65</v>
      </c>
      <c r="E267" t="s">
        <v>444</v>
      </c>
      <c r="F267" s="13">
        <v>1</v>
      </c>
      <c r="G267" s="14">
        <v>630.34</v>
      </c>
      <c r="H267" s="13">
        <v>427</v>
      </c>
      <c r="I267" t="s">
        <v>77</v>
      </c>
    </row>
    <row r="268" spans="1:9" x14ac:dyDescent="0.3">
      <c r="A268">
        <v>2051</v>
      </c>
      <c r="B268" t="s">
        <v>353</v>
      </c>
      <c r="C268" t="s">
        <v>92</v>
      </c>
      <c r="D268" t="s">
        <v>64</v>
      </c>
      <c r="E268" t="s">
        <v>444</v>
      </c>
      <c r="F268" s="13">
        <v>2</v>
      </c>
      <c r="G268" s="14">
        <v>9903.09</v>
      </c>
      <c r="H268" s="13">
        <v>427</v>
      </c>
      <c r="I268" t="s">
        <v>77</v>
      </c>
    </row>
    <row r="269" spans="1:9" x14ac:dyDescent="0.3">
      <c r="A269">
        <v>4494</v>
      </c>
      <c r="B269" t="s">
        <v>445</v>
      </c>
      <c r="C269" t="s">
        <v>90</v>
      </c>
      <c r="D269" t="s">
        <v>66</v>
      </c>
      <c r="E269" t="s">
        <v>446</v>
      </c>
      <c r="F269" s="13">
        <v>1</v>
      </c>
      <c r="G269" s="14">
        <v>3838.93</v>
      </c>
      <c r="H269" s="13">
        <v>426</v>
      </c>
      <c r="I269" t="s">
        <v>77</v>
      </c>
    </row>
    <row r="270" spans="1:9" x14ac:dyDescent="0.3">
      <c r="A270">
        <v>5226</v>
      </c>
      <c r="B270" t="s">
        <v>447</v>
      </c>
      <c r="C270" t="s">
        <v>137</v>
      </c>
      <c r="D270" t="s">
        <v>64</v>
      </c>
      <c r="E270" t="s">
        <v>446</v>
      </c>
      <c r="F270" s="13">
        <v>1</v>
      </c>
      <c r="G270" s="14">
        <v>979.16</v>
      </c>
      <c r="H270" s="13">
        <v>426</v>
      </c>
      <c r="I270" t="s">
        <v>77</v>
      </c>
    </row>
    <row r="271" spans="1:9" x14ac:dyDescent="0.3">
      <c r="A271">
        <v>6564</v>
      </c>
      <c r="B271" t="s">
        <v>448</v>
      </c>
      <c r="C271" t="s">
        <v>92</v>
      </c>
      <c r="D271" t="s">
        <v>64</v>
      </c>
      <c r="E271" t="s">
        <v>446</v>
      </c>
      <c r="F271" s="13">
        <v>1</v>
      </c>
      <c r="G271" s="14">
        <v>3009.58</v>
      </c>
      <c r="H271" s="13">
        <v>426</v>
      </c>
      <c r="I271" t="s">
        <v>77</v>
      </c>
    </row>
    <row r="272" spans="1:9" x14ac:dyDescent="0.3">
      <c r="A272">
        <v>8521</v>
      </c>
      <c r="B272" t="s">
        <v>449</v>
      </c>
      <c r="C272" t="s">
        <v>87</v>
      </c>
      <c r="D272" t="s">
        <v>64</v>
      </c>
      <c r="E272" t="s">
        <v>446</v>
      </c>
      <c r="F272" s="13">
        <v>3</v>
      </c>
      <c r="G272" s="14">
        <v>5534.64</v>
      </c>
      <c r="H272" s="13">
        <v>426</v>
      </c>
      <c r="I272" t="s">
        <v>77</v>
      </c>
    </row>
    <row r="273" spans="1:9" x14ac:dyDescent="0.3">
      <c r="A273">
        <v>4479</v>
      </c>
      <c r="B273" t="s">
        <v>151</v>
      </c>
      <c r="C273" t="s">
        <v>92</v>
      </c>
      <c r="D273" t="s">
        <v>64</v>
      </c>
      <c r="E273" t="s">
        <v>450</v>
      </c>
      <c r="F273" s="13">
        <v>1</v>
      </c>
      <c r="G273" s="14">
        <v>452.06</v>
      </c>
      <c r="H273" s="13">
        <v>425</v>
      </c>
      <c r="I273" t="s">
        <v>77</v>
      </c>
    </row>
    <row r="274" spans="1:9" x14ac:dyDescent="0.3">
      <c r="A274">
        <v>1901</v>
      </c>
      <c r="B274" t="s">
        <v>451</v>
      </c>
      <c r="C274" t="s">
        <v>137</v>
      </c>
      <c r="D274" t="s">
        <v>64</v>
      </c>
      <c r="E274" t="s">
        <v>452</v>
      </c>
      <c r="F274" s="13">
        <v>1</v>
      </c>
      <c r="G274" s="14">
        <v>264.14999999999998</v>
      </c>
      <c r="H274" s="13">
        <v>424</v>
      </c>
      <c r="I274" t="s">
        <v>77</v>
      </c>
    </row>
    <row r="275" spans="1:9" x14ac:dyDescent="0.3">
      <c r="A275">
        <v>4975</v>
      </c>
      <c r="B275" t="s">
        <v>277</v>
      </c>
      <c r="C275" t="s">
        <v>97</v>
      </c>
      <c r="D275" t="s">
        <v>65</v>
      </c>
      <c r="E275" t="s">
        <v>452</v>
      </c>
      <c r="F275" s="13">
        <v>1</v>
      </c>
      <c r="G275" s="14">
        <v>8128.82</v>
      </c>
      <c r="H275" s="13">
        <v>424</v>
      </c>
      <c r="I275" t="s">
        <v>77</v>
      </c>
    </row>
    <row r="276" spans="1:9" x14ac:dyDescent="0.3">
      <c r="A276">
        <v>5006</v>
      </c>
      <c r="B276" t="s">
        <v>453</v>
      </c>
      <c r="C276" t="s">
        <v>133</v>
      </c>
      <c r="D276" t="s">
        <v>64</v>
      </c>
      <c r="E276" t="s">
        <v>452</v>
      </c>
      <c r="F276" s="13">
        <v>2</v>
      </c>
      <c r="G276" s="14">
        <v>3750.84</v>
      </c>
      <c r="H276" s="13">
        <v>424</v>
      </c>
      <c r="I276" t="s">
        <v>77</v>
      </c>
    </row>
    <row r="277" spans="1:9" x14ac:dyDescent="0.3">
      <c r="A277">
        <v>5616</v>
      </c>
      <c r="B277" t="s">
        <v>182</v>
      </c>
      <c r="C277" t="s">
        <v>137</v>
      </c>
      <c r="D277" t="s">
        <v>64</v>
      </c>
      <c r="E277" t="s">
        <v>452</v>
      </c>
      <c r="F277" s="13">
        <v>1</v>
      </c>
      <c r="G277" s="14">
        <v>202.17</v>
      </c>
      <c r="H277" s="13">
        <v>424</v>
      </c>
      <c r="I277" t="s">
        <v>77</v>
      </c>
    </row>
    <row r="278" spans="1:9" x14ac:dyDescent="0.3">
      <c r="A278">
        <v>1429</v>
      </c>
      <c r="B278" t="s">
        <v>454</v>
      </c>
      <c r="C278" t="s">
        <v>100</v>
      </c>
      <c r="D278" t="s">
        <v>66</v>
      </c>
      <c r="E278" t="s">
        <v>455</v>
      </c>
      <c r="F278" s="13">
        <v>1</v>
      </c>
      <c r="G278" s="14">
        <v>164.21</v>
      </c>
      <c r="H278" s="13">
        <v>423</v>
      </c>
      <c r="I278" t="s">
        <v>77</v>
      </c>
    </row>
    <row r="279" spans="1:9" x14ac:dyDescent="0.3">
      <c r="A279">
        <v>1927</v>
      </c>
      <c r="B279" t="s">
        <v>423</v>
      </c>
      <c r="C279" t="s">
        <v>114</v>
      </c>
      <c r="D279" t="s">
        <v>66</v>
      </c>
      <c r="E279" t="s">
        <v>455</v>
      </c>
      <c r="F279" s="13">
        <v>1</v>
      </c>
      <c r="G279" s="14">
        <v>4316.16</v>
      </c>
      <c r="H279" s="13">
        <v>423</v>
      </c>
      <c r="I279" t="s">
        <v>77</v>
      </c>
    </row>
    <row r="280" spans="1:9" x14ac:dyDescent="0.3">
      <c r="A280">
        <v>4513</v>
      </c>
      <c r="B280" t="s">
        <v>456</v>
      </c>
      <c r="C280" t="s">
        <v>92</v>
      </c>
      <c r="D280" t="s">
        <v>64</v>
      </c>
      <c r="E280" t="s">
        <v>455</v>
      </c>
      <c r="F280" s="13">
        <v>1</v>
      </c>
      <c r="G280" s="14">
        <v>561.15</v>
      </c>
      <c r="H280" s="13">
        <v>423</v>
      </c>
      <c r="I280" t="s">
        <v>77</v>
      </c>
    </row>
    <row r="281" spans="1:9" x14ac:dyDescent="0.3">
      <c r="A281">
        <v>5142</v>
      </c>
      <c r="B281" t="s">
        <v>457</v>
      </c>
      <c r="C281" t="s">
        <v>92</v>
      </c>
      <c r="D281" t="s">
        <v>64</v>
      </c>
      <c r="E281" t="s">
        <v>455</v>
      </c>
      <c r="F281" s="13">
        <v>1</v>
      </c>
      <c r="G281" s="14">
        <v>3422.91</v>
      </c>
      <c r="H281" s="13">
        <v>423</v>
      </c>
      <c r="I281" t="s">
        <v>77</v>
      </c>
    </row>
    <row r="282" spans="1:9" x14ac:dyDescent="0.3">
      <c r="A282">
        <v>7783</v>
      </c>
      <c r="B282" t="s">
        <v>458</v>
      </c>
      <c r="C282" t="s">
        <v>114</v>
      </c>
      <c r="D282" t="s">
        <v>66</v>
      </c>
      <c r="E282" t="s">
        <v>455</v>
      </c>
      <c r="F282" s="13">
        <v>1</v>
      </c>
      <c r="G282" s="14">
        <v>1443.57</v>
      </c>
      <c r="H282" s="13">
        <v>423</v>
      </c>
      <c r="I282" t="s">
        <v>77</v>
      </c>
    </row>
    <row r="283" spans="1:9" x14ac:dyDescent="0.3">
      <c r="A283">
        <v>8652</v>
      </c>
      <c r="B283" t="s">
        <v>459</v>
      </c>
      <c r="C283" t="s">
        <v>123</v>
      </c>
      <c r="D283" t="s">
        <v>65</v>
      </c>
      <c r="E283" t="s">
        <v>455</v>
      </c>
      <c r="F283" s="13">
        <v>1</v>
      </c>
      <c r="G283" s="14">
        <v>527.46</v>
      </c>
      <c r="H283" s="13">
        <v>423</v>
      </c>
      <c r="I283" t="s">
        <v>77</v>
      </c>
    </row>
    <row r="284" spans="1:9" x14ac:dyDescent="0.3">
      <c r="A284">
        <v>1502</v>
      </c>
      <c r="B284" t="s">
        <v>460</v>
      </c>
      <c r="C284" t="s">
        <v>95</v>
      </c>
      <c r="D284" t="s">
        <v>65</v>
      </c>
      <c r="E284" t="s">
        <v>461</v>
      </c>
      <c r="F284" s="13">
        <v>1</v>
      </c>
      <c r="G284" s="14">
        <v>678.34</v>
      </c>
      <c r="H284" s="13">
        <v>422</v>
      </c>
      <c r="I284" t="s">
        <v>77</v>
      </c>
    </row>
    <row r="285" spans="1:9" x14ac:dyDescent="0.3">
      <c r="A285">
        <v>2079</v>
      </c>
      <c r="B285" t="s">
        <v>462</v>
      </c>
      <c r="C285" t="s">
        <v>92</v>
      </c>
      <c r="D285" t="s">
        <v>64</v>
      </c>
      <c r="E285" t="s">
        <v>461</v>
      </c>
      <c r="F285" s="13">
        <v>1</v>
      </c>
      <c r="G285" s="14">
        <v>1324.96</v>
      </c>
      <c r="H285" s="13">
        <v>422</v>
      </c>
      <c r="I285" t="s">
        <v>77</v>
      </c>
    </row>
    <row r="286" spans="1:9" x14ac:dyDescent="0.3">
      <c r="A286">
        <v>3977</v>
      </c>
      <c r="B286" t="s">
        <v>463</v>
      </c>
      <c r="C286" t="s">
        <v>92</v>
      </c>
      <c r="D286" t="s">
        <v>64</v>
      </c>
      <c r="E286" t="s">
        <v>461</v>
      </c>
      <c r="F286" s="13">
        <v>1</v>
      </c>
      <c r="G286" s="14">
        <v>2570.89</v>
      </c>
      <c r="H286" s="13">
        <v>422</v>
      </c>
      <c r="I286" t="s">
        <v>77</v>
      </c>
    </row>
    <row r="287" spans="1:9" x14ac:dyDescent="0.3">
      <c r="A287">
        <v>5373</v>
      </c>
      <c r="B287" t="s">
        <v>464</v>
      </c>
      <c r="C287" t="s">
        <v>103</v>
      </c>
      <c r="D287" t="s">
        <v>67</v>
      </c>
      <c r="E287" t="s">
        <v>461</v>
      </c>
      <c r="F287" s="13">
        <v>2</v>
      </c>
      <c r="G287" s="14">
        <v>1004.61</v>
      </c>
      <c r="H287" s="13">
        <v>422</v>
      </c>
      <c r="I287" t="s">
        <v>77</v>
      </c>
    </row>
    <row r="288" spans="1:9" x14ac:dyDescent="0.3">
      <c r="A288">
        <v>5776</v>
      </c>
      <c r="B288" t="s">
        <v>465</v>
      </c>
      <c r="C288" t="s">
        <v>137</v>
      </c>
      <c r="D288" t="s">
        <v>64</v>
      </c>
      <c r="E288" t="s">
        <v>461</v>
      </c>
      <c r="F288" s="13">
        <v>1</v>
      </c>
      <c r="G288" s="14">
        <v>4526.3</v>
      </c>
      <c r="H288" s="13">
        <v>422</v>
      </c>
      <c r="I288" t="s">
        <v>77</v>
      </c>
    </row>
    <row r="289" spans="1:9" x14ac:dyDescent="0.3">
      <c r="A289">
        <v>497</v>
      </c>
      <c r="B289" t="s">
        <v>466</v>
      </c>
      <c r="C289" t="s">
        <v>133</v>
      </c>
      <c r="D289" t="s">
        <v>64</v>
      </c>
      <c r="E289" t="s">
        <v>467</v>
      </c>
      <c r="F289" s="13">
        <v>2</v>
      </c>
      <c r="G289" s="14">
        <v>1453.78</v>
      </c>
      <c r="H289" s="13">
        <v>421</v>
      </c>
      <c r="I289" t="s">
        <v>77</v>
      </c>
    </row>
    <row r="290" spans="1:9" x14ac:dyDescent="0.3">
      <c r="A290">
        <v>1974</v>
      </c>
      <c r="B290" t="s">
        <v>323</v>
      </c>
      <c r="C290" t="s">
        <v>92</v>
      </c>
      <c r="D290" t="s">
        <v>64</v>
      </c>
      <c r="E290" t="s">
        <v>467</v>
      </c>
      <c r="F290" s="13">
        <v>1</v>
      </c>
      <c r="G290" s="14">
        <v>2259.73</v>
      </c>
      <c r="H290" s="13">
        <v>421</v>
      </c>
      <c r="I290" t="s">
        <v>77</v>
      </c>
    </row>
    <row r="291" spans="1:9" x14ac:dyDescent="0.3">
      <c r="A291">
        <v>3255</v>
      </c>
      <c r="B291" t="s">
        <v>151</v>
      </c>
      <c r="C291" t="s">
        <v>92</v>
      </c>
      <c r="D291" t="s">
        <v>64</v>
      </c>
      <c r="E291" t="s">
        <v>467</v>
      </c>
      <c r="F291" s="13">
        <v>1</v>
      </c>
      <c r="G291" s="14">
        <v>4164.7</v>
      </c>
      <c r="H291" s="13">
        <v>421</v>
      </c>
      <c r="I291" t="s">
        <v>77</v>
      </c>
    </row>
    <row r="292" spans="1:9" x14ac:dyDescent="0.3">
      <c r="A292">
        <v>7033</v>
      </c>
      <c r="B292" t="s">
        <v>468</v>
      </c>
      <c r="C292" t="s">
        <v>137</v>
      </c>
      <c r="D292" t="s">
        <v>64</v>
      </c>
      <c r="E292" t="s">
        <v>467</v>
      </c>
      <c r="F292" s="13">
        <v>1</v>
      </c>
      <c r="G292" s="14">
        <v>3443.77</v>
      </c>
      <c r="H292" s="13">
        <v>421</v>
      </c>
      <c r="I292" t="s">
        <v>77</v>
      </c>
    </row>
    <row r="293" spans="1:9" x14ac:dyDescent="0.3">
      <c r="A293">
        <v>7483</v>
      </c>
      <c r="B293" t="s">
        <v>469</v>
      </c>
      <c r="C293" t="s">
        <v>87</v>
      </c>
      <c r="D293" t="s">
        <v>64</v>
      </c>
      <c r="E293" t="s">
        <v>467</v>
      </c>
      <c r="F293" s="13">
        <v>1</v>
      </c>
      <c r="G293" s="14">
        <v>998.38</v>
      </c>
      <c r="H293" s="13">
        <v>421</v>
      </c>
      <c r="I293" t="s">
        <v>77</v>
      </c>
    </row>
    <row r="294" spans="1:9" x14ac:dyDescent="0.3">
      <c r="A294">
        <v>8925</v>
      </c>
      <c r="B294" t="s">
        <v>470</v>
      </c>
      <c r="C294" t="s">
        <v>95</v>
      </c>
      <c r="D294" t="s">
        <v>65</v>
      </c>
      <c r="E294" t="s">
        <v>467</v>
      </c>
      <c r="F294" s="13">
        <v>1</v>
      </c>
      <c r="G294" s="14">
        <v>172.06</v>
      </c>
      <c r="H294" s="13">
        <v>421</v>
      </c>
      <c r="I294" t="s">
        <v>77</v>
      </c>
    </row>
    <row r="295" spans="1:9" x14ac:dyDescent="0.3">
      <c r="A295">
        <v>2367</v>
      </c>
      <c r="B295" t="s">
        <v>423</v>
      </c>
      <c r="C295" t="s">
        <v>92</v>
      </c>
      <c r="D295" t="s">
        <v>64</v>
      </c>
      <c r="E295" t="s">
        <v>471</v>
      </c>
      <c r="F295" s="13">
        <v>2</v>
      </c>
      <c r="G295" s="14">
        <v>3471.56</v>
      </c>
      <c r="H295" s="13">
        <v>420</v>
      </c>
      <c r="I295" t="s">
        <v>77</v>
      </c>
    </row>
    <row r="296" spans="1:9" x14ac:dyDescent="0.3">
      <c r="A296">
        <v>4955</v>
      </c>
      <c r="B296" t="s">
        <v>472</v>
      </c>
      <c r="C296" t="s">
        <v>473</v>
      </c>
      <c r="D296" t="s">
        <v>68</v>
      </c>
      <c r="E296" t="s">
        <v>471</v>
      </c>
      <c r="F296" s="13">
        <v>4</v>
      </c>
      <c r="G296" s="14">
        <v>12408.23</v>
      </c>
      <c r="H296" s="13">
        <v>420</v>
      </c>
      <c r="I296" t="s">
        <v>77</v>
      </c>
    </row>
    <row r="297" spans="1:9" x14ac:dyDescent="0.3">
      <c r="A297">
        <v>7460</v>
      </c>
      <c r="B297" t="s">
        <v>474</v>
      </c>
      <c r="C297" t="s">
        <v>90</v>
      </c>
      <c r="D297" t="s">
        <v>66</v>
      </c>
      <c r="E297" t="s">
        <v>471</v>
      </c>
      <c r="F297" s="13">
        <v>1</v>
      </c>
      <c r="G297" s="14">
        <v>1021.95</v>
      </c>
      <c r="H297" s="13">
        <v>420</v>
      </c>
      <c r="I297" t="s">
        <v>77</v>
      </c>
    </row>
    <row r="298" spans="1:9" x14ac:dyDescent="0.3">
      <c r="A298">
        <v>265</v>
      </c>
      <c r="B298" t="s">
        <v>475</v>
      </c>
      <c r="C298" t="s">
        <v>92</v>
      </c>
      <c r="D298" t="s">
        <v>64</v>
      </c>
      <c r="E298" t="s">
        <v>476</v>
      </c>
      <c r="F298" s="13">
        <v>1</v>
      </c>
      <c r="G298" s="14">
        <v>2439.63</v>
      </c>
      <c r="H298" s="13">
        <v>419</v>
      </c>
      <c r="I298" t="s">
        <v>77</v>
      </c>
    </row>
    <row r="299" spans="1:9" x14ac:dyDescent="0.3">
      <c r="A299">
        <v>1884</v>
      </c>
      <c r="B299" t="s">
        <v>477</v>
      </c>
      <c r="C299" t="s">
        <v>137</v>
      </c>
      <c r="D299" t="s">
        <v>64</v>
      </c>
      <c r="E299" t="s">
        <v>476</v>
      </c>
      <c r="F299" s="13">
        <v>1</v>
      </c>
      <c r="G299" s="14">
        <v>383.14</v>
      </c>
      <c r="H299" s="13">
        <v>419</v>
      </c>
      <c r="I299" t="s">
        <v>77</v>
      </c>
    </row>
    <row r="300" spans="1:9" x14ac:dyDescent="0.3">
      <c r="A300">
        <v>5578</v>
      </c>
      <c r="B300" t="s">
        <v>478</v>
      </c>
      <c r="C300" t="s">
        <v>114</v>
      </c>
      <c r="D300" t="s">
        <v>66</v>
      </c>
      <c r="E300" t="s">
        <v>476</v>
      </c>
      <c r="F300" s="13">
        <v>3</v>
      </c>
      <c r="G300" s="14">
        <v>4037.36</v>
      </c>
      <c r="H300" s="13">
        <v>419</v>
      </c>
      <c r="I300" t="s">
        <v>77</v>
      </c>
    </row>
    <row r="301" spans="1:9" x14ac:dyDescent="0.3">
      <c r="A301">
        <v>6125</v>
      </c>
      <c r="B301" t="s">
        <v>479</v>
      </c>
      <c r="C301" t="s">
        <v>90</v>
      </c>
      <c r="D301" t="s">
        <v>66</v>
      </c>
      <c r="E301" t="s">
        <v>476</v>
      </c>
      <c r="F301" s="13">
        <v>1</v>
      </c>
      <c r="G301" s="14">
        <v>385.22</v>
      </c>
      <c r="H301" s="13">
        <v>419</v>
      </c>
      <c r="I301" t="s">
        <v>77</v>
      </c>
    </row>
    <row r="302" spans="1:9" x14ac:dyDescent="0.3">
      <c r="A302">
        <v>6747</v>
      </c>
      <c r="B302" t="s">
        <v>262</v>
      </c>
      <c r="C302" t="s">
        <v>92</v>
      </c>
      <c r="D302" t="s">
        <v>64</v>
      </c>
      <c r="E302" t="s">
        <v>476</v>
      </c>
      <c r="F302" s="13">
        <v>1</v>
      </c>
      <c r="G302" s="14">
        <v>3373.79</v>
      </c>
      <c r="H302" s="13">
        <v>419</v>
      </c>
      <c r="I302" t="s">
        <v>77</v>
      </c>
    </row>
    <row r="303" spans="1:9" x14ac:dyDescent="0.3">
      <c r="A303">
        <v>8301</v>
      </c>
      <c r="B303" t="s">
        <v>480</v>
      </c>
      <c r="C303" t="s">
        <v>92</v>
      </c>
      <c r="D303" t="s">
        <v>64</v>
      </c>
      <c r="E303" t="s">
        <v>476</v>
      </c>
      <c r="F303" s="13">
        <v>2</v>
      </c>
      <c r="G303" s="14">
        <v>3459.74</v>
      </c>
      <c r="H303" s="13">
        <v>419</v>
      </c>
      <c r="I303" t="s">
        <v>77</v>
      </c>
    </row>
    <row r="304" spans="1:9" x14ac:dyDescent="0.3">
      <c r="A304">
        <v>8423</v>
      </c>
      <c r="B304" t="s">
        <v>99</v>
      </c>
      <c r="C304" t="s">
        <v>133</v>
      </c>
      <c r="D304" t="s">
        <v>64</v>
      </c>
      <c r="E304" t="s">
        <v>476</v>
      </c>
      <c r="F304" s="13">
        <v>1</v>
      </c>
      <c r="G304" s="14">
        <v>968.55</v>
      </c>
      <c r="H304" s="13">
        <v>419</v>
      </c>
      <c r="I304" t="s">
        <v>77</v>
      </c>
    </row>
    <row r="305" spans="1:9" x14ac:dyDescent="0.3">
      <c r="A305">
        <v>8888</v>
      </c>
      <c r="B305" t="s">
        <v>423</v>
      </c>
      <c r="C305" t="s">
        <v>133</v>
      </c>
      <c r="D305" t="s">
        <v>64</v>
      </c>
      <c r="E305" t="s">
        <v>476</v>
      </c>
      <c r="F305" s="13">
        <v>1</v>
      </c>
      <c r="G305" s="14">
        <v>1484.57</v>
      </c>
      <c r="H305" s="13">
        <v>419</v>
      </c>
      <c r="I305" t="s">
        <v>77</v>
      </c>
    </row>
    <row r="306" spans="1:9" x14ac:dyDescent="0.3">
      <c r="A306">
        <v>1243</v>
      </c>
      <c r="B306" t="s">
        <v>481</v>
      </c>
      <c r="C306" t="s">
        <v>133</v>
      </c>
      <c r="D306" t="s">
        <v>64</v>
      </c>
      <c r="E306" t="s">
        <v>482</v>
      </c>
      <c r="F306" s="13">
        <v>1</v>
      </c>
      <c r="G306" s="14">
        <v>5819.52</v>
      </c>
      <c r="H306" s="13">
        <v>418</v>
      </c>
      <c r="I306" t="s">
        <v>77</v>
      </c>
    </row>
    <row r="307" spans="1:9" x14ac:dyDescent="0.3">
      <c r="A307">
        <v>1477</v>
      </c>
      <c r="B307" t="s">
        <v>483</v>
      </c>
      <c r="C307" t="s">
        <v>100</v>
      </c>
      <c r="D307" t="s">
        <v>66</v>
      </c>
      <c r="E307" t="s">
        <v>482</v>
      </c>
      <c r="F307" s="13">
        <v>1</v>
      </c>
      <c r="G307" s="14">
        <v>369.38</v>
      </c>
      <c r="H307" s="13">
        <v>418</v>
      </c>
      <c r="I307" t="s">
        <v>77</v>
      </c>
    </row>
    <row r="308" spans="1:9" x14ac:dyDescent="0.3">
      <c r="A308">
        <v>1509</v>
      </c>
      <c r="B308" t="s">
        <v>162</v>
      </c>
      <c r="C308" t="s">
        <v>137</v>
      </c>
      <c r="D308" t="s">
        <v>64</v>
      </c>
      <c r="E308" t="s">
        <v>482</v>
      </c>
      <c r="F308" s="13">
        <v>1</v>
      </c>
      <c r="G308" s="14">
        <v>229.42</v>
      </c>
      <c r="H308" s="13">
        <v>418</v>
      </c>
      <c r="I308" t="s">
        <v>77</v>
      </c>
    </row>
    <row r="309" spans="1:9" x14ac:dyDescent="0.3">
      <c r="A309">
        <v>1139</v>
      </c>
      <c r="B309" t="s">
        <v>252</v>
      </c>
      <c r="C309" t="s">
        <v>97</v>
      </c>
      <c r="D309" t="s">
        <v>65</v>
      </c>
      <c r="E309" t="s">
        <v>484</v>
      </c>
      <c r="F309" s="13">
        <v>2</v>
      </c>
      <c r="G309" s="14">
        <v>3577.83</v>
      </c>
      <c r="H309" s="13">
        <v>417</v>
      </c>
      <c r="I309" t="s">
        <v>77</v>
      </c>
    </row>
    <row r="310" spans="1:9" x14ac:dyDescent="0.3">
      <c r="A310">
        <v>3910</v>
      </c>
      <c r="B310" t="s">
        <v>460</v>
      </c>
      <c r="C310" t="s">
        <v>97</v>
      </c>
      <c r="D310" t="s">
        <v>65</v>
      </c>
      <c r="E310" t="s">
        <v>484</v>
      </c>
      <c r="F310" s="13">
        <v>1</v>
      </c>
      <c r="G310" s="14">
        <v>233.23</v>
      </c>
      <c r="H310" s="13">
        <v>417</v>
      </c>
      <c r="I310" t="s">
        <v>77</v>
      </c>
    </row>
    <row r="311" spans="1:9" x14ac:dyDescent="0.3">
      <c r="A311">
        <v>3922</v>
      </c>
      <c r="B311" t="s">
        <v>485</v>
      </c>
      <c r="C311" t="s">
        <v>92</v>
      </c>
      <c r="D311" t="s">
        <v>64</v>
      </c>
      <c r="E311" t="s">
        <v>484</v>
      </c>
      <c r="F311" s="13">
        <v>1</v>
      </c>
      <c r="G311" s="14">
        <v>284.64</v>
      </c>
      <c r="H311" s="13">
        <v>417</v>
      </c>
      <c r="I311" t="s">
        <v>77</v>
      </c>
    </row>
    <row r="312" spans="1:9" x14ac:dyDescent="0.3">
      <c r="A312">
        <v>4329</v>
      </c>
      <c r="B312" t="s">
        <v>486</v>
      </c>
      <c r="C312" t="s">
        <v>90</v>
      </c>
      <c r="D312" t="s">
        <v>66</v>
      </c>
      <c r="E312" t="s">
        <v>484</v>
      </c>
      <c r="F312" s="13">
        <v>1</v>
      </c>
      <c r="G312" s="14">
        <v>535.91</v>
      </c>
      <c r="H312" s="13">
        <v>417</v>
      </c>
      <c r="I312" t="s">
        <v>77</v>
      </c>
    </row>
    <row r="313" spans="1:9" x14ac:dyDescent="0.3">
      <c r="A313">
        <v>4592</v>
      </c>
      <c r="B313" t="s">
        <v>487</v>
      </c>
      <c r="C313" t="s">
        <v>473</v>
      </c>
      <c r="D313" t="s">
        <v>68</v>
      </c>
      <c r="E313" t="s">
        <v>484</v>
      </c>
      <c r="F313" s="13">
        <v>1</v>
      </c>
      <c r="G313" s="14">
        <v>313.82</v>
      </c>
      <c r="H313" s="13">
        <v>417</v>
      </c>
      <c r="I313" t="s">
        <v>77</v>
      </c>
    </row>
    <row r="314" spans="1:9" x14ac:dyDescent="0.3">
      <c r="A314">
        <v>2397</v>
      </c>
      <c r="B314" t="s">
        <v>488</v>
      </c>
      <c r="C314" t="s">
        <v>92</v>
      </c>
      <c r="D314" t="s">
        <v>64</v>
      </c>
      <c r="E314" t="s">
        <v>489</v>
      </c>
      <c r="F314" s="13">
        <v>2</v>
      </c>
      <c r="G314" s="14">
        <v>8562.7800000000007</v>
      </c>
      <c r="H314" s="13">
        <v>416</v>
      </c>
      <c r="I314" t="s">
        <v>77</v>
      </c>
    </row>
    <row r="315" spans="1:9" x14ac:dyDescent="0.3">
      <c r="A315">
        <v>3119</v>
      </c>
      <c r="B315" t="s">
        <v>182</v>
      </c>
      <c r="C315" t="s">
        <v>133</v>
      </c>
      <c r="D315" t="s">
        <v>64</v>
      </c>
      <c r="E315" t="s">
        <v>489</v>
      </c>
      <c r="F315" s="13">
        <v>1</v>
      </c>
      <c r="G315" s="14">
        <v>8277.07</v>
      </c>
      <c r="H315" s="13">
        <v>416</v>
      </c>
      <c r="I315" t="s">
        <v>77</v>
      </c>
    </row>
    <row r="316" spans="1:9" x14ac:dyDescent="0.3">
      <c r="A316">
        <v>3919</v>
      </c>
      <c r="B316" t="s">
        <v>191</v>
      </c>
      <c r="C316" t="s">
        <v>133</v>
      </c>
      <c r="D316" t="s">
        <v>64</v>
      </c>
      <c r="E316" t="s">
        <v>489</v>
      </c>
      <c r="F316" s="13">
        <v>1</v>
      </c>
      <c r="G316" s="14">
        <v>4307.8100000000004</v>
      </c>
      <c r="H316" s="13">
        <v>416</v>
      </c>
      <c r="I316" t="s">
        <v>77</v>
      </c>
    </row>
    <row r="317" spans="1:9" x14ac:dyDescent="0.3">
      <c r="A317">
        <v>4964</v>
      </c>
      <c r="B317" t="s">
        <v>348</v>
      </c>
      <c r="C317" t="s">
        <v>473</v>
      </c>
      <c r="D317" t="s">
        <v>68</v>
      </c>
      <c r="E317" t="s">
        <v>489</v>
      </c>
      <c r="F317" s="13">
        <v>2</v>
      </c>
      <c r="G317" s="14">
        <v>977.61</v>
      </c>
      <c r="H317" s="13">
        <v>416</v>
      </c>
      <c r="I317" t="s">
        <v>77</v>
      </c>
    </row>
    <row r="318" spans="1:9" x14ac:dyDescent="0.3">
      <c r="A318">
        <v>5100</v>
      </c>
      <c r="B318" t="s">
        <v>490</v>
      </c>
      <c r="C318" t="s">
        <v>103</v>
      </c>
      <c r="D318" t="s">
        <v>67</v>
      </c>
      <c r="E318" t="s">
        <v>489</v>
      </c>
      <c r="F318" s="13">
        <v>1</v>
      </c>
      <c r="G318" s="14">
        <v>707.13</v>
      </c>
      <c r="H318" s="13">
        <v>416</v>
      </c>
      <c r="I318" t="s">
        <v>77</v>
      </c>
    </row>
    <row r="319" spans="1:9" x14ac:dyDescent="0.3">
      <c r="A319">
        <v>5467</v>
      </c>
      <c r="B319" t="s">
        <v>386</v>
      </c>
      <c r="C319" t="s">
        <v>97</v>
      </c>
      <c r="D319" t="s">
        <v>65</v>
      </c>
      <c r="E319" t="s">
        <v>489</v>
      </c>
      <c r="F319" s="13">
        <v>1</v>
      </c>
      <c r="G319" s="14">
        <v>1328.71</v>
      </c>
      <c r="H319" s="13">
        <v>416</v>
      </c>
      <c r="I319" t="s">
        <v>77</v>
      </c>
    </row>
    <row r="320" spans="1:9" x14ac:dyDescent="0.3">
      <c r="A320">
        <v>1476</v>
      </c>
      <c r="B320" t="s">
        <v>240</v>
      </c>
      <c r="C320" t="s">
        <v>92</v>
      </c>
      <c r="D320" t="s">
        <v>64</v>
      </c>
      <c r="E320" t="s">
        <v>491</v>
      </c>
      <c r="F320" s="13">
        <v>2</v>
      </c>
      <c r="G320" s="14">
        <v>3593.3</v>
      </c>
      <c r="H320" s="13">
        <v>415</v>
      </c>
      <c r="I320" t="s">
        <v>77</v>
      </c>
    </row>
    <row r="321" spans="1:9" x14ac:dyDescent="0.3">
      <c r="A321">
        <v>3277</v>
      </c>
      <c r="B321" t="s">
        <v>86</v>
      </c>
      <c r="C321" t="s">
        <v>103</v>
      </c>
      <c r="D321" t="s">
        <v>67</v>
      </c>
      <c r="E321" t="s">
        <v>491</v>
      </c>
      <c r="F321" s="13">
        <v>1</v>
      </c>
      <c r="G321" s="14">
        <v>3148.8</v>
      </c>
      <c r="H321" s="13">
        <v>415</v>
      </c>
      <c r="I321" t="s">
        <v>77</v>
      </c>
    </row>
    <row r="322" spans="1:9" x14ac:dyDescent="0.3">
      <c r="A322">
        <v>8535</v>
      </c>
      <c r="B322" t="s">
        <v>99</v>
      </c>
      <c r="C322" t="s">
        <v>100</v>
      </c>
      <c r="D322" t="s">
        <v>66</v>
      </c>
      <c r="E322" t="s">
        <v>491</v>
      </c>
      <c r="F322" s="13">
        <v>1</v>
      </c>
      <c r="G322" s="14">
        <v>3072.45</v>
      </c>
      <c r="H322" s="13">
        <v>415</v>
      </c>
      <c r="I322" t="s">
        <v>77</v>
      </c>
    </row>
    <row r="323" spans="1:9" x14ac:dyDescent="0.3">
      <c r="A323">
        <v>8967</v>
      </c>
      <c r="B323" t="s">
        <v>264</v>
      </c>
      <c r="C323" t="s">
        <v>92</v>
      </c>
      <c r="D323" t="s">
        <v>64</v>
      </c>
      <c r="E323" t="s">
        <v>491</v>
      </c>
      <c r="F323" s="13">
        <v>1</v>
      </c>
      <c r="G323" s="14">
        <v>1892.79</v>
      </c>
      <c r="H323" s="13">
        <v>415</v>
      </c>
      <c r="I323" t="s">
        <v>77</v>
      </c>
    </row>
    <row r="324" spans="1:9" x14ac:dyDescent="0.3">
      <c r="A324">
        <v>2731</v>
      </c>
      <c r="B324" t="s">
        <v>492</v>
      </c>
      <c r="C324" t="s">
        <v>92</v>
      </c>
      <c r="D324" t="s">
        <v>64</v>
      </c>
      <c r="E324" t="s">
        <v>493</v>
      </c>
      <c r="F324" s="13">
        <v>2</v>
      </c>
      <c r="G324" s="14">
        <v>11576.48</v>
      </c>
      <c r="H324" s="13">
        <v>414</v>
      </c>
      <c r="I324" t="s">
        <v>77</v>
      </c>
    </row>
    <row r="325" spans="1:9" x14ac:dyDescent="0.3">
      <c r="A325">
        <v>3347</v>
      </c>
      <c r="B325" t="s">
        <v>494</v>
      </c>
      <c r="C325" t="s">
        <v>137</v>
      </c>
      <c r="D325" t="s">
        <v>64</v>
      </c>
      <c r="E325" t="s">
        <v>493</v>
      </c>
      <c r="F325" s="13">
        <v>1</v>
      </c>
      <c r="G325" s="14">
        <v>762.46</v>
      </c>
      <c r="H325" s="13">
        <v>414</v>
      </c>
      <c r="I325" t="s">
        <v>77</v>
      </c>
    </row>
    <row r="326" spans="1:9" x14ac:dyDescent="0.3">
      <c r="A326">
        <v>6148</v>
      </c>
      <c r="B326" t="s">
        <v>191</v>
      </c>
      <c r="C326" t="s">
        <v>249</v>
      </c>
      <c r="D326" t="s">
        <v>67</v>
      </c>
      <c r="E326" t="s">
        <v>493</v>
      </c>
      <c r="F326" s="13">
        <v>1</v>
      </c>
      <c r="G326" s="14">
        <v>289.88</v>
      </c>
      <c r="H326" s="13">
        <v>414</v>
      </c>
      <c r="I326" t="s">
        <v>77</v>
      </c>
    </row>
    <row r="327" spans="1:9" x14ac:dyDescent="0.3">
      <c r="A327">
        <v>7128</v>
      </c>
      <c r="B327" t="s">
        <v>495</v>
      </c>
      <c r="C327" t="s">
        <v>97</v>
      </c>
      <c r="D327" t="s">
        <v>65</v>
      </c>
      <c r="E327" t="s">
        <v>493</v>
      </c>
      <c r="F327" s="13">
        <v>1</v>
      </c>
      <c r="G327" s="14">
        <v>2315.4899999999998</v>
      </c>
      <c r="H327" s="13">
        <v>414</v>
      </c>
      <c r="I327" t="s">
        <v>77</v>
      </c>
    </row>
    <row r="328" spans="1:9" x14ac:dyDescent="0.3">
      <c r="A328">
        <v>7236</v>
      </c>
      <c r="B328" t="s">
        <v>496</v>
      </c>
      <c r="C328" t="s">
        <v>137</v>
      </c>
      <c r="D328" t="s">
        <v>64</v>
      </c>
      <c r="E328" t="s">
        <v>497</v>
      </c>
      <c r="F328" s="13">
        <v>1</v>
      </c>
      <c r="G328" s="14">
        <v>1422.18</v>
      </c>
      <c r="H328" s="13">
        <v>413</v>
      </c>
      <c r="I328" t="s">
        <v>77</v>
      </c>
    </row>
    <row r="329" spans="1:9" x14ac:dyDescent="0.3">
      <c r="A329">
        <v>331</v>
      </c>
      <c r="B329" t="s">
        <v>498</v>
      </c>
      <c r="C329" t="s">
        <v>114</v>
      </c>
      <c r="D329" t="s">
        <v>66</v>
      </c>
      <c r="E329" t="s">
        <v>499</v>
      </c>
      <c r="F329" s="13">
        <v>1</v>
      </c>
      <c r="G329" s="14">
        <v>2587.86</v>
      </c>
      <c r="H329" s="13">
        <v>412</v>
      </c>
      <c r="I329" t="s">
        <v>77</v>
      </c>
    </row>
    <row r="330" spans="1:9" x14ac:dyDescent="0.3">
      <c r="A330">
        <v>538</v>
      </c>
      <c r="B330" t="s">
        <v>500</v>
      </c>
      <c r="C330" t="s">
        <v>92</v>
      </c>
      <c r="D330" t="s">
        <v>64</v>
      </c>
      <c r="E330" t="s">
        <v>499</v>
      </c>
      <c r="F330" s="13">
        <v>1</v>
      </c>
      <c r="G330" s="14">
        <v>116.59</v>
      </c>
      <c r="H330" s="13">
        <v>412</v>
      </c>
      <c r="I330" t="s">
        <v>77</v>
      </c>
    </row>
    <row r="331" spans="1:9" x14ac:dyDescent="0.3">
      <c r="A331">
        <v>1823</v>
      </c>
      <c r="B331" t="s">
        <v>277</v>
      </c>
      <c r="C331" t="s">
        <v>95</v>
      </c>
      <c r="D331" t="s">
        <v>65</v>
      </c>
      <c r="E331" t="s">
        <v>499</v>
      </c>
      <c r="F331" s="13">
        <v>2</v>
      </c>
      <c r="G331" s="14">
        <v>3019.01</v>
      </c>
      <c r="H331" s="13">
        <v>412</v>
      </c>
      <c r="I331" t="s">
        <v>77</v>
      </c>
    </row>
    <row r="332" spans="1:9" x14ac:dyDescent="0.3">
      <c r="A332">
        <v>6615</v>
      </c>
      <c r="B332" t="s">
        <v>264</v>
      </c>
      <c r="C332" t="s">
        <v>123</v>
      </c>
      <c r="D332" t="s">
        <v>65</v>
      </c>
      <c r="E332" t="s">
        <v>499</v>
      </c>
      <c r="F332" s="13">
        <v>1</v>
      </c>
      <c r="G332" s="14">
        <v>1042.49</v>
      </c>
      <c r="H332" s="13">
        <v>412</v>
      </c>
      <c r="I332" t="s">
        <v>77</v>
      </c>
    </row>
    <row r="333" spans="1:9" x14ac:dyDescent="0.3">
      <c r="A333">
        <v>2375</v>
      </c>
      <c r="B333" t="s">
        <v>501</v>
      </c>
      <c r="C333" t="s">
        <v>137</v>
      </c>
      <c r="D333" t="s">
        <v>64</v>
      </c>
      <c r="E333" t="s">
        <v>502</v>
      </c>
      <c r="F333" s="13">
        <v>2</v>
      </c>
      <c r="G333" s="14">
        <v>3310.92</v>
      </c>
      <c r="H333" s="13">
        <v>411</v>
      </c>
      <c r="I333" t="s">
        <v>77</v>
      </c>
    </row>
    <row r="334" spans="1:9" x14ac:dyDescent="0.3">
      <c r="A334">
        <v>407</v>
      </c>
      <c r="B334" t="s">
        <v>252</v>
      </c>
      <c r="C334" t="s">
        <v>92</v>
      </c>
      <c r="D334" t="s">
        <v>64</v>
      </c>
      <c r="E334" t="s">
        <v>503</v>
      </c>
      <c r="F334" s="13">
        <v>1</v>
      </c>
      <c r="G334" s="14">
        <v>3949.69</v>
      </c>
      <c r="H334" s="13">
        <v>410</v>
      </c>
      <c r="I334" t="s">
        <v>77</v>
      </c>
    </row>
    <row r="335" spans="1:9" x14ac:dyDescent="0.3">
      <c r="A335">
        <v>1506</v>
      </c>
      <c r="B335" t="s">
        <v>191</v>
      </c>
      <c r="C335" t="s">
        <v>92</v>
      </c>
      <c r="D335" t="s">
        <v>64</v>
      </c>
      <c r="E335" t="s">
        <v>503</v>
      </c>
      <c r="F335" s="13">
        <v>1</v>
      </c>
      <c r="G335" s="14">
        <v>1643.06</v>
      </c>
      <c r="H335" s="13">
        <v>410</v>
      </c>
      <c r="I335" t="s">
        <v>77</v>
      </c>
    </row>
    <row r="336" spans="1:9" x14ac:dyDescent="0.3">
      <c r="A336">
        <v>1947</v>
      </c>
      <c r="B336" t="s">
        <v>504</v>
      </c>
      <c r="C336" t="s">
        <v>133</v>
      </c>
      <c r="D336" t="s">
        <v>64</v>
      </c>
      <c r="E336" t="s">
        <v>503</v>
      </c>
      <c r="F336" s="13">
        <v>2</v>
      </c>
      <c r="G336" s="14">
        <v>6375.21</v>
      </c>
      <c r="H336" s="13">
        <v>410</v>
      </c>
      <c r="I336" t="s">
        <v>77</v>
      </c>
    </row>
    <row r="337" spans="1:9" x14ac:dyDescent="0.3">
      <c r="A337">
        <v>3613</v>
      </c>
      <c r="B337" t="s">
        <v>240</v>
      </c>
      <c r="C337" t="s">
        <v>97</v>
      </c>
      <c r="D337" t="s">
        <v>65</v>
      </c>
      <c r="E337" t="s">
        <v>503</v>
      </c>
      <c r="F337" s="13">
        <v>1</v>
      </c>
      <c r="G337" s="14">
        <v>158.02000000000001</v>
      </c>
      <c r="H337" s="13">
        <v>410</v>
      </c>
      <c r="I337" t="s">
        <v>77</v>
      </c>
    </row>
    <row r="338" spans="1:9" x14ac:dyDescent="0.3">
      <c r="A338">
        <v>4509</v>
      </c>
      <c r="B338" t="s">
        <v>505</v>
      </c>
      <c r="C338" t="s">
        <v>92</v>
      </c>
      <c r="D338" t="s">
        <v>64</v>
      </c>
      <c r="E338" t="s">
        <v>503</v>
      </c>
      <c r="F338" s="13">
        <v>1</v>
      </c>
      <c r="G338" s="14">
        <v>2781.14</v>
      </c>
      <c r="H338" s="13">
        <v>410</v>
      </c>
      <c r="I338" t="s">
        <v>77</v>
      </c>
    </row>
    <row r="339" spans="1:9" x14ac:dyDescent="0.3">
      <c r="A339">
        <v>4788</v>
      </c>
      <c r="B339" t="s">
        <v>201</v>
      </c>
      <c r="C339" t="s">
        <v>123</v>
      </c>
      <c r="D339" t="s">
        <v>65</v>
      </c>
      <c r="E339" t="s">
        <v>503</v>
      </c>
      <c r="F339" s="13">
        <v>1</v>
      </c>
      <c r="G339" s="14">
        <v>1720.68</v>
      </c>
      <c r="H339" s="13">
        <v>410</v>
      </c>
      <c r="I339" t="s">
        <v>77</v>
      </c>
    </row>
    <row r="340" spans="1:9" x14ac:dyDescent="0.3">
      <c r="A340">
        <v>7909</v>
      </c>
      <c r="B340" t="s">
        <v>506</v>
      </c>
      <c r="C340" t="s">
        <v>123</v>
      </c>
      <c r="D340" t="s">
        <v>65</v>
      </c>
      <c r="E340" t="s">
        <v>503</v>
      </c>
      <c r="F340" s="13">
        <v>1</v>
      </c>
      <c r="G340" s="14">
        <v>1585.43</v>
      </c>
      <c r="H340" s="13">
        <v>410</v>
      </c>
      <c r="I340" t="s">
        <v>77</v>
      </c>
    </row>
    <row r="341" spans="1:9" x14ac:dyDescent="0.3">
      <c r="A341">
        <v>1936</v>
      </c>
      <c r="B341" t="s">
        <v>507</v>
      </c>
      <c r="C341" t="s">
        <v>97</v>
      </c>
      <c r="D341" t="s">
        <v>65</v>
      </c>
      <c r="E341" t="s">
        <v>508</v>
      </c>
      <c r="F341" s="13">
        <v>3</v>
      </c>
      <c r="G341" s="14">
        <v>816.95</v>
      </c>
      <c r="H341" s="13">
        <v>409</v>
      </c>
      <c r="I341" t="s">
        <v>77</v>
      </c>
    </row>
    <row r="342" spans="1:9" x14ac:dyDescent="0.3">
      <c r="A342">
        <v>2744</v>
      </c>
      <c r="B342" t="s">
        <v>142</v>
      </c>
      <c r="C342" t="s">
        <v>92</v>
      </c>
      <c r="D342" t="s">
        <v>64</v>
      </c>
      <c r="E342" t="s">
        <v>508</v>
      </c>
      <c r="F342" s="13">
        <v>1</v>
      </c>
      <c r="G342" s="14">
        <v>7211.65</v>
      </c>
      <c r="H342" s="13">
        <v>409</v>
      </c>
      <c r="I342" t="s">
        <v>77</v>
      </c>
    </row>
    <row r="343" spans="1:9" x14ac:dyDescent="0.3">
      <c r="A343">
        <v>4431</v>
      </c>
      <c r="B343" t="s">
        <v>201</v>
      </c>
      <c r="C343" t="s">
        <v>137</v>
      </c>
      <c r="D343" t="s">
        <v>64</v>
      </c>
      <c r="E343" t="s">
        <v>508</v>
      </c>
      <c r="F343" s="13">
        <v>2</v>
      </c>
      <c r="G343" s="14">
        <v>5124.1899999999996</v>
      </c>
      <c r="H343" s="13">
        <v>409</v>
      </c>
      <c r="I343" t="s">
        <v>77</v>
      </c>
    </row>
    <row r="344" spans="1:9" x14ac:dyDescent="0.3">
      <c r="A344">
        <v>6087</v>
      </c>
      <c r="B344" t="s">
        <v>509</v>
      </c>
      <c r="C344" t="s">
        <v>123</v>
      </c>
      <c r="D344" t="s">
        <v>65</v>
      </c>
      <c r="E344" t="s">
        <v>508</v>
      </c>
      <c r="F344" s="13">
        <v>2</v>
      </c>
      <c r="G344" s="14">
        <v>5060</v>
      </c>
      <c r="H344" s="13">
        <v>409</v>
      </c>
      <c r="I344" t="s">
        <v>77</v>
      </c>
    </row>
    <row r="345" spans="1:9" x14ac:dyDescent="0.3">
      <c r="A345">
        <v>6224</v>
      </c>
      <c r="B345" t="s">
        <v>510</v>
      </c>
      <c r="C345" t="s">
        <v>97</v>
      </c>
      <c r="D345" t="s">
        <v>65</v>
      </c>
      <c r="E345" t="s">
        <v>508</v>
      </c>
      <c r="F345" s="13">
        <v>1</v>
      </c>
      <c r="G345" s="14">
        <v>592.66999999999996</v>
      </c>
      <c r="H345" s="13">
        <v>409</v>
      </c>
      <c r="I345" t="s">
        <v>77</v>
      </c>
    </row>
    <row r="346" spans="1:9" x14ac:dyDescent="0.3">
      <c r="A346">
        <v>1244</v>
      </c>
      <c r="B346" t="s">
        <v>386</v>
      </c>
      <c r="C346" t="s">
        <v>473</v>
      </c>
      <c r="D346" t="s">
        <v>68</v>
      </c>
      <c r="E346" t="s">
        <v>511</v>
      </c>
      <c r="F346" s="13">
        <v>1</v>
      </c>
      <c r="G346" s="14">
        <v>1900.99</v>
      </c>
      <c r="H346" s="13">
        <v>407</v>
      </c>
      <c r="I346" t="s">
        <v>77</v>
      </c>
    </row>
    <row r="347" spans="1:9" x14ac:dyDescent="0.3">
      <c r="A347">
        <v>2959</v>
      </c>
      <c r="B347" t="s">
        <v>512</v>
      </c>
      <c r="C347" t="s">
        <v>123</v>
      </c>
      <c r="D347" t="s">
        <v>65</v>
      </c>
      <c r="E347" t="s">
        <v>511</v>
      </c>
      <c r="F347" s="13">
        <v>1</v>
      </c>
      <c r="G347" s="14">
        <v>1881.49</v>
      </c>
      <c r="H347" s="13">
        <v>407</v>
      </c>
      <c r="I347" t="s">
        <v>77</v>
      </c>
    </row>
    <row r="348" spans="1:9" x14ac:dyDescent="0.3">
      <c r="A348">
        <v>7299</v>
      </c>
      <c r="B348" t="s">
        <v>513</v>
      </c>
      <c r="C348" t="s">
        <v>133</v>
      </c>
      <c r="D348" t="s">
        <v>64</v>
      </c>
      <c r="E348" t="s">
        <v>511</v>
      </c>
      <c r="F348" s="13">
        <v>1</v>
      </c>
      <c r="G348" s="14">
        <v>572.79999999999995</v>
      </c>
      <c r="H348" s="13">
        <v>407</v>
      </c>
      <c r="I348" t="s">
        <v>77</v>
      </c>
    </row>
    <row r="349" spans="1:9" x14ac:dyDescent="0.3">
      <c r="A349">
        <v>7488</v>
      </c>
      <c r="B349" t="s">
        <v>514</v>
      </c>
      <c r="C349" t="s">
        <v>133</v>
      </c>
      <c r="D349" t="s">
        <v>64</v>
      </c>
      <c r="E349" t="s">
        <v>511</v>
      </c>
      <c r="F349" s="13">
        <v>2</v>
      </c>
      <c r="G349" s="14">
        <v>6979.4</v>
      </c>
      <c r="H349" s="13">
        <v>407</v>
      </c>
      <c r="I349" t="s">
        <v>77</v>
      </c>
    </row>
    <row r="350" spans="1:9" x14ac:dyDescent="0.3">
      <c r="A350">
        <v>7587</v>
      </c>
      <c r="B350" t="s">
        <v>86</v>
      </c>
      <c r="C350" t="s">
        <v>137</v>
      </c>
      <c r="D350" t="s">
        <v>64</v>
      </c>
      <c r="E350" t="s">
        <v>511</v>
      </c>
      <c r="F350" s="13">
        <v>1</v>
      </c>
      <c r="G350" s="14">
        <v>722.65</v>
      </c>
      <c r="H350" s="13">
        <v>407</v>
      </c>
      <c r="I350" t="s">
        <v>77</v>
      </c>
    </row>
    <row r="351" spans="1:9" x14ac:dyDescent="0.3">
      <c r="A351">
        <v>7667</v>
      </c>
      <c r="B351" t="s">
        <v>515</v>
      </c>
      <c r="C351" t="s">
        <v>92</v>
      </c>
      <c r="D351" t="s">
        <v>64</v>
      </c>
      <c r="E351" t="s">
        <v>511</v>
      </c>
      <c r="F351" s="13">
        <v>1</v>
      </c>
      <c r="G351" s="14">
        <v>754.25</v>
      </c>
      <c r="H351" s="13">
        <v>407</v>
      </c>
      <c r="I351" t="s">
        <v>77</v>
      </c>
    </row>
    <row r="352" spans="1:9" x14ac:dyDescent="0.3">
      <c r="A352">
        <v>7716</v>
      </c>
      <c r="B352" t="s">
        <v>516</v>
      </c>
      <c r="C352" t="s">
        <v>92</v>
      </c>
      <c r="D352" t="s">
        <v>64</v>
      </c>
      <c r="E352" t="s">
        <v>511</v>
      </c>
      <c r="F352" s="13">
        <v>1</v>
      </c>
      <c r="G352" s="14">
        <v>42.26</v>
      </c>
      <c r="H352" s="13">
        <v>407</v>
      </c>
      <c r="I352" t="s">
        <v>77</v>
      </c>
    </row>
    <row r="353" spans="1:9" x14ac:dyDescent="0.3">
      <c r="A353">
        <v>8881</v>
      </c>
      <c r="B353" t="s">
        <v>311</v>
      </c>
      <c r="C353" t="s">
        <v>92</v>
      </c>
      <c r="D353" t="s">
        <v>64</v>
      </c>
      <c r="E353" t="s">
        <v>511</v>
      </c>
      <c r="F353" s="13">
        <v>2</v>
      </c>
      <c r="G353" s="14">
        <v>1231.8599999999999</v>
      </c>
      <c r="H353" s="13">
        <v>407</v>
      </c>
      <c r="I353" t="s">
        <v>77</v>
      </c>
    </row>
    <row r="354" spans="1:9" x14ac:dyDescent="0.3">
      <c r="A354">
        <v>45</v>
      </c>
      <c r="B354" t="s">
        <v>517</v>
      </c>
      <c r="C354" t="s">
        <v>100</v>
      </c>
      <c r="D354" t="s">
        <v>66</v>
      </c>
      <c r="E354" t="s">
        <v>518</v>
      </c>
      <c r="F354" s="13">
        <v>1</v>
      </c>
      <c r="G354" s="14">
        <v>793.62</v>
      </c>
      <c r="H354" s="13">
        <v>406</v>
      </c>
      <c r="I354" t="s">
        <v>77</v>
      </c>
    </row>
    <row r="355" spans="1:9" x14ac:dyDescent="0.3">
      <c r="A355">
        <v>6659</v>
      </c>
      <c r="B355" t="s">
        <v>519</v>
      </c>
      <c r="C355" t="s">
        <v>114</v>
      </c>
      <c r="D355" t="s">
        <v>66</v>
      </c>
      <c r="E355" t="s">
        <v>518</v>
      </c>
      <c r="F355" s="13">
        <v>1</v>
      </c>
      <c r="G355" s="14">
        <v>1415.72</v>
      </c>
      <c r="H355" s="13">
        <v>406</v>
      </c>
      <c r="I355" t="s">
        <v>77</v>
      </c>
    </row>
    <row r="356" spans="1:9" x14ac:dyDescent="0.3">
      <c r="A356">
        <v>161</v>
      </c>
      <c r="B356" t="s">
        <v>520</v>
      </c>
      <c r="C356" t="s">
        <v>92</v>
      </c>
      <c r="D356" t="s">
        <v>64</v>
      </c>
      <c r="E356" t="s">
        <v>521</v>
      </c>
      <c r="F356" s="13">
        <v>4</v>
      </c>
      <c r="G356" s="14">
        <v>3694.08</v>
      </c>
      <c r="H356" s="13">
        <v>405</v>
      </c>
      <c r="I356" t="s">
        <v>77</v>
      </c>
    </row>
    <row r="357" spans="1:9" x14ac:dyDescent="0.3">
      <c r="A357">
        <v>2134</v>
      </c>
      <c r="B357" t="s">
        <v>522</v>
      </c>
      <c r="C357" t="s">
        <v>123</v>
      </c>
      <c r="D357" t="s">
        <v>65</v>
      </c>
      <c r="E357" t="s">
        <v>521</v>
      </c>
      <c r="F357" s="13">
        <v>2</v>
      </c>
      <c r="G357" s="14">
        <v>3774.45</v>
      </c>
      <c r="H357" s="13">
        <v>405</v>
      </c>
      <c r="I357" t="s">
        <v>77</v>
      </c>
    </row>
    <row r="358" spans="1:9" x14ac:dyDescent="0.3">
      <c r="A358">
        <v>4903</v>
      </c>
      <c r="B358" t="s">
        <v>523</v>
      </c>
      <c r="C358" t="s">
        <v>114</v>
      </c>
      <c r="D358" t="s">
        <v>66</v>
      </c>
      <c r="E358" t="s">
        <v>521</v>
      </c>
      <c r="F358" s="13">
        <v>1</v>
      </c>
      <c r="G358" s="14">
        <v>7861.34</v>
      </c>
      <c r="H358" s="13">
        <v>405</v>
      </c>
      <c r="I358" t="s">
        <v>77</v>
      </c>
    </row>
    <row r="359" spans="1:9" x14ac:dyDescent="0.3">
      <c r="A359">
        <v>7126</v>
      </c>
      <c r="B359" t="s">
        <v>524</v>
      </c>
      <c r="C359" t="s">
        <v>87</v>
      </c>
      <c r="D359" t="s">
        <v>64</v>
      </c>
      <c r="E359" t="s">
        <v>521</v>
      </c>
      <c r="F359" s="13">
        <v>1</v>
      </c>
      <c r="G359" s="14">
        <v>613.23</v>
      </c>
      <c r="H359" s="13">
        <v>405</v>
      </c>
      <c r="I359" t="s">
        <v>77</v>
      </c>
    </row>
    <row r="360" spans="1:9" x14ac:dyDescent="0.3">
      <c r="A360">
        <v>8031</v>
      </c>
      <c r="B360" t="s">
        <v>525</v>
      </c>
      <c r="C360" t="s">
        <v>123</v>
      </c>
      <c r="D360" t="s">
        <v>65</v>
      </c>
      <c r="E360" t="s">
        <v>521</v>
      </c>
      <c r="F360" s="13">
        <v>1</v>
      </c>
      <c r="G360" s="14">
        <v>393.61</v>
      </c>
      <c r="H360" s="13">
        <v>405</v>
      </c>
      <c r="I360" t="s">
        <v>77</v>
      </c>
    </row>
    <row r="361" spans="1:9" x14ac:dyDescent="0.3">
      <c r="A361">
        <v>3599</v>
      </c>
      <c r="B361" t="s">
        <v>423</v>
      </c>
      <c r="C361" t="s">
        <v>133</v>
      </c>
      <c r="D361" t="s">
        <v>64</v>
      </c>
      <c r="E361" t="s">
        <v>526</v>
      </c>
      <c r="F361" s="13">
        <v>1</v>
      </c>
      <c r="G361" s="14">
        <v>3008.56</v>
      </c>
      <c r="H361" s="13">
        <v>404</v>
      </c>
      <c r="I361" t="s">
        <v>77</v>
      </c>
    </row>
    <row r="362" spans="1:9" x14ac:dyDescent="0.3">
      <c r="A362">
        <v>3702</v>
      </c>
      <c r="B362" t="s">
        <v>259</v>
      </c>
      <c r="C362" t="s">
        <v>90</v>
      </c>
      <c r="D362" t="s">
        <v>66</v>
      </c>
      <c r="E362" t="s">
        <v>526</v>
      </c>
      <c r="F362" s="13">
        <v>1</v>
      </c>
      <c r="G362" s="14">
        <v>100.7</v>
      </c>
      <c r="H362" s="13">
        <v>404</v>
      </c>
      <c r="I362" t="s">
        <v>77</v>
      </c>
    </row>
    <row r="363" spans="1:9" x14ac:dyDescent="0.3">
      <c r="A363">
        <v>6001</v>
      </c>
      <c r="B363" t="s">
        <v>128</v>
      </c>
      <c r="C363" t="s">
        <v>137</v>
      </c>
      <c r="D363" t="s">
        <v>64</v>
      </c>
      <c r="E363" t="s">
        <v>526</v>
      </c>
      <c r="F363" s="13">
        <v>3</v>
      </c>
      <c r="G363" s="14">
        <v>3905.33</v>
      </c>
      <c r="H363" s="13">
        <v>404</v>
      </c>
      <c r="I363" t="s">
        <v>77</v>
      </c>
    </row>
    <row r="364" spans="1:9" x14ac:dyDescent="0.3">
      <c r="A364">
        <v>8534</v>
      </c>
      <c r="B364" t="s">
        <v>138</v>
      </c>
      <c r="C364" t="s">
        <v>92</v>
      </c>
      <c r="D364" t="s">
        <v>64</v>
      </c>
      <c r="E364" t="s">
        <v>526</v>
      </c>
      <c r="F364" s="13">
        <v>2</v>
      </c>
      <c r="G364" s="14">
        <v>6103.77</v>
      </c>
      <c r="H364" s="13">
        <v>404</v>
      </c>
      <c r="I364" t="s">
        <v>77</v>
      </c>
    </row>
    <row r="365" spans="1:9" x14ac:dyDescent="0.3">
      <c r="A365">
        <v>1368</v>
      </c>
      <c r="B365" t="s">
        <v>527</v>
      </c>
      <c r="C365" t="s">
        <v>92</v>
      </c>
      <c r="D365" t="s">
        <v>64</v>
      </c>
      <c r="E365" t="s">
        <v>528</v>
      </c>
      <c r="F365" s="13">
        <v>2</v>
      </c>
      <c r="G365" s="14">
        <v>2451.48</v>
      </c>
      <c r="H365" s="13">
        <v>403</v>
      </c>
      <c r="I365" t="s">
        <v>77</v>
      </c>
    </row>
    <row r="366" spans="1:9" x14ac:dyDescent="0.3">
      <c r="A366">
        <v>2415</v>
      </c>
      <c r="B366" t="s">
        <v>237</v>
      </c>
      <c r="C366" t="s">
        <v>137</v>
      </c>
      <c r="D366" t="s">
        <v>64</v>
      </c>
      <c r="E366" t="s">
        <v>528</v>
      </c>
      <c r="F366" s="13">
        <v>1</v>
      </c>
      <c r="G366" s="14">
        <v>318.56</v>
      </c>
      <c r="H366" s="13">
        <v>403</v>
      </c>
      <c r="I366" t="s">
        <v>77</v>
      </c>
    </row>
    <row r="367" spans="1:9" x14ac:dyDescent="0.3">
      <c r="A367">
        <v>4021</v>
      </c>
      <c r="B367" t="s">
        <v>529</v>
      </c>
      <c r="C367" t="s">
        <v>97</v>
      </c>
      <c r="D367" t="s">
        <v>65</v>
      </c>
      <c r="E367" t="s">
        <v>528</v>
      </c>
      <c r="F367" s="13">
        <v>1</v>
      </c>
      <c r="G367" s="14">
        <v>2204.9</v>
      </c>
      <c r="H367" s="13">
        <v>403</v>
      </c>
      <c r="I367" t="s">
        <v>77</v>
      </c>
    </row>
    <row r="368" spans="1:9" x14ac:dyDescent="0.3">
      <c r="A368">
        <v>5095</v>
      </c>
      <c r="B368" t="s">
        <v>151</v>
      </c>
      <c r="C368" t="s">
        <v>137</v>
      </c>
      <c r="D368" t="s">
        <v>64</v>
      </c>
      <c r="E368" t="s">
        <v>528</v>
      </c>
      <c r="F368" s="13">
        <v>4</v>
      </c>
      <c r="G368" s="14">
        <v>11789.93</v>
      </c>
      <c r="H368" s="13">
        <v>403</v>
      </c>
      <c r="I368" t="s">
        <v>77</v>
      </c>
    </row>
    <row r="369" spans="1:9" x14ac:dyDescent="0.3">
      <c r="A369">
        <v>6594</v>
      </c>
      <c r="B369" t="s">
        <v>86</v>
      </c>
      <c r="C369" t="s">
        <v>100</v>
      </c>
      <c r="D369" t="s">
        <v>66</v>
      </c>
      <c r="E369" t="s">
        <v>528</v>
      </c>
      <c r="F369" s="13">
        <v>2</v>
      </c>
      <c r="G369" s="14">
        <v>6684.77</v>
      </c>
      <c r="H369" s="13">
        <v>403</v>
      </c>
      <c r="I369" t="s">
        <v>77</v>
      </c>
    </row>
    <row r="370" spans="1:9" x14ac:dyDescent="0.3">
      <c r="A370">
        <v>7177</v>
      </c>
      <c r="B370" t="s">
        <v>162</v>
      </c>
      <c r="C370" t="s">
        <v>90</v>
      </c>
      <c r="D370" t="s">
        <v>66</v>
      </c>
      <c r="E370" t="s">
        <v>528</v>
      </c>
      <c r="F370" s="13">
        <v>1</v>
      </c>
      <c r="G370" s="14">
        <v>1349.23</v>
      </c>
      <c r="H370" s="13">
        <v>403</v>
      </c>
      <c r="I370" t="s">
        <v>77</v>
      </c>
    </row>
    <row r="371" spans="1:9" x14ac:dyDescent="0.3">
      <c r="A371">
        <v>8372</v>
      </c>
      <c r="B371" t="s">
        <v>530</v>
      </c>
      <c r="C371" t="s">
        <v>92</v>
      </c>
      <c r="D371" t="s">
        <v>64</v>
      </c>
      <c r="E371" t="s">
        <v>528</v>
      </c>
      <c r="F371" s="13">
        <v>1</v>
      </c>
      <c r="G371" s="14">
        <v>3252.51</v>
      </c>
      <c r="H371" s="13">
        <v>403</v>
      </c>
      <c r="I371" t="s">
        <v>77</v>
      </c>
    </row>
    <row r="372" spans="1:9" x14ac:dyDescent="0.3">
      <c r="A372">
        <v>8701</v>
      </c>
      <c r="B372" t="s">
        <v>531</v>
      </c>
      <c r="C372" t="s">
        <v>100</v>
      </c>
      <c r="D372" t="s">
        <v>66</v>
      </c>
      <c r="E372" t="s">
        <v>528</v>
      </c>
      <c r="F372" s="13">
        <v>1</v>
      </c>
      <c r="G372" s="14">
        <v>537.72</v>
      </c>
      <c r="H372" s="13">
        <v>403</v>
      </c>
      <c r="I372" t="s">
        <v>77</v>
      </c>
    </row>
    <row r="373" spans="1:9" x14ac:dyDescent="0.3">
      <c r="A373">
        <v>2794</v>
      </c>
      <c r="B373" t="s">
        <v>532</v>
      </c>
      <c r="C373" t="s">
        <v>133</v>
      </c>
      <c r="D373" t="s">
        <v>64</v>
      </c>
      <c r="E373" t="s">
        <v>533</v>
      </c>
      <c r="F373" s="13">
        <v>1</v>
      </c>
      <c r="G373" s="14">
        <v>218.01</v>
      </c>
      <c r="H373" s="13">
        <v>402</v>
      </c>
      <c r="I373" t="s">
        <v>77</v>
      </c>
    </row>
    <row r="374" spans="1:9" x14ac:dyDescent="0.3">
      <c r="A374">
        <v>6150</v>
      </c>
      <c r="B374" t="s">
        <v>534</v>
      </c>
      <c r="C374" t="s">
        <v>87</v>
      </c>
      <c r="D374" t="s">
        <v>64</v>
      </c>
      <c r="E374" t="s">
        <v>533</v>
      </c>
      <c r="F374" s="13">
        <v>2</v>
      </c>
      <c r="G374" s="14">
        <v>1002.89</v>
      </c>
      <c r="H374" s="13">
        <v>402</v>
      </c>
      <c r="I374" t="s">
        <v>77</v>
      </c>
    </row>
    <row r="375" spans="1:9" x14ac:dyDescent="0.3">
      <c r="A375">
        <v>6381</v>
      </c>
      <c r="B375" t="s">
        <v>449</v>
      </c>
      <c r="C375" t="s">
        <v>114</v>
      </c>
      <c r="D375" t="s">
        <v>66</v>
      </c>
      <c r="E375" t="s">
        <v>533</v>
      </c>
      <c r="F375" s="13">
        <v>4</v>
      </c>
      <c r="G375" s="14">
        <v>3747.22</v>
      </c>
      <c r="H375" s="13">
        <v>402</v>
      </c>
      <c r="I375" t="s">
        <v>77</v>
      </c>
    </row>
    <row r="376" spans="1:9" x14ac:dyDescent="0.3">
      <c r="A376">
        <v>5002</v>
      </c>
      <c r="B376" t="s">
        <v>535</v>
      </c>
      <c r="C376" t="s">
        <v>92</v>
      </c>
      <c r="D376" t="s">
        <v>64</v>
      </c>
      <c r="E376" t="s">
        <v>536</v>
      </c>
      <c r="F376" s="13">
        <v>2</v>
      </c>
      <c r="G376" s="14">
        <v>649.57000000000005</v>
      </c>
      <c r="H376" s="13">
        <v>401</v>
      </c>
      <c r="I376" t="s">
        <v>77</v>
      </c>
    </row>
    <row r="377" spans="1:9" x14ac:dyDescent="0.3">
      <c r="A377">
        <v>5257</v>
      </c>
      <c r="B377" t="s">
        <v>318</v>
      </c>
      <c r="C377" t="s">
        <v>133</v>
      </c>
      <c r="D377" t="s">
        <v>64</v>
      </c>
      <c r="E377" t="s">
        <v>536</v>
      </c>
      <c r="F377" s="13">
        <v>3</v>
      </c>
      <c r="G377" s="14">
        <v>3564.4</v>
      </c>
      <c r="H377" s="13">
        <v>401</v>
      </c>
      <c r="I377" t="s">
        <v>77</v>
      </c>
    </row>
    <row r="378" spans="1:9" x14ac:dyDescent="0.3">
      <c r="A378">
        <v>6066</v>
      </c>
      <c r="B378" t="s">
        <v>537</v>
      </c>
      <c r="C378" t="s">
        <v>92</v>
      </c>
      <c r="D378" t="s">
        <v>64</v>
      </c>
      <c r="E378" t="s">
        <v>536</v>
      </c>
      <c r="F378" s="13">
        <v>1</v>
      </c>
      <c r="G378" s="14">
        <v>9729.99</v>
      </c>
      <c r="H378" s="13">
        <v>401</v>
      </c>
      <c r="I378" t="s">
        <v>77</v>
      </c>
    </row>
    <row r="379" spans="1:9" x14ac:dyDescent="0.3">
      <c r="A379">
        <v>6082</v>
      </c>
      <c r="B379" t="s">
        <v>538</v>
      </c>
      <c r="C379" t="s">
        <v>114</v>
      </c>
      <c r="D379" t="s">
        <v>66</v>
      </c>
      <c r="E379" t="s">
        <v>539</v>
      </c>
      <c r="F379" s="13">
        <v>2</v>
      </c>
      <c r="G379" s="14">
        <v>720.37</v>
      </c>
      <c r="H379" s="13">
        <v>400</v>
      </c>
      <c r="I379" t="s">
        <v>77</v>
      </c>
    </row>
    <row r="380" spans="1:9" x14ac:dyDescent="0.3">
      <c r="A380">
        <v>2020</v>
      </c>
      <c r="B380" t="s">
        <v>540</v>
      </c>
      <c r="C380" t="s">
        <v>90</v>
      </c>
      <c r="D380" t="s">
        <v>66</v>
      </c>
      <c r="E380" t="s">
        <v>541</v>
      </c>
      <c r="F380" s="13">
        <v>2</v>
      </c>
      <c r="G380" s="14">
        <v>1567.73</v>
      </c>
      <c r="H380" s="13">
        <v>399</v>
      </c>
      <c r="I380" t="s">
        <v>77</v>
      </c>
    </row>
    <row r="381" spans="1:9" x14ac:dyDescent="0.3">
      <c r="A381">
        <v>2958</v>
      </c>
      <c r="B381" t="s">
        <v>542</v>
      </c>
      <c r="C381" t="s">
        <v>90</v>
      </c>
      <c r="D381" t="s">
        <v>66</v>
      </c>
      <c r="E381" t="s">
        <v>541</v>
      </c>
      <c r="F381" s="13">
        <v>1</v>
      </c>
      <c r="G381" s="14">
        <v>1574.06</v>
      </c>
      <c r="H381" s="13">
        <v>399</v>
      </c>
      <c r="I381" t="s">
        <v>77</v>
      </c>
    </row>
    <row r="382" spans="1:9" x14ac:dyDescent="0.3">
      <c r="A382">
        <v>5478</v>
      </c>
      <c r="B382" t="s">
        <v>253</v>
      </c>
      <c r="C382" t="s">
        <v>92</v>
      </c>
      <c r="D382" t="s">
        <v>64</v>
      </c>
      <c r="E382" t="s">
        <v>541</v>
      </c>
      <c r="F382" s="13">
        <v>1</v>
      </c>
      <c r="G382" s="14">
        <v>1160.75</v>
      </c>
      <c r="H382" s="13">
        <v>399</v>
      </c>
      <c r="I382" t="s">
        <v>77</v>
      </c>
    </row>
    <row r="383" spans="1:9" x14ac:dyDescent="0.3">
      <c r="A383">
        <v>5893</v>
      </c>
      <c r="B383" t="s">
        <v>208</v>
      </c>
      <c r="C383" t="s">
        <v>95</v>
      </c>
      <c r="D383" t="s">
        <v>65</v>
      </c>
      <c r="E383" t="s">
        <v>541</v>
      </c>
      <c r="F383" s="13">
        <v>1</v>
      </c>
      <c r="G383" s="14">
        <v>1037.55</v>
      </c>
      <c r="H383" s="13">
        <v>399</v>
      </c>
      <c r="I383" t="s">
        <v>77</v>
      </c>
    </row>
    <row r="384" spans="1:9" x14ac:dyDescent="0.3">
      <c r="A384">
        <v>431</v>
      </c>
      <c r="B384" t="s">
        <v>543</v>
      </c>
      <c r="C384" t="s">
        <v>92</v>
      </c>
      <c r="D384" t="s">
        <v>64</v>
      </c>
      <c r="E384" t="s">
        <v>544</v>
      </c>
      <c r="F384" s="13">
        <v>2</v>
      </c>
      <c r="G384" s="14">
        <v>4011.86</v>
      </c>
      <c r="H384" s="13">
        <v>398</v>
      </c>
      <c r="I384" t="s">
        <v>77</v>
      </c>
    </row>
    <row r="385" spans="1:9" x14ac:dyDescent="0.3">
      <c r="A385">
        <v>953</v>
      </c>
      <c r="B385" t="s">
        <v>545</v>
      </c>
      <c r="C385" t="s">
        <v>92</v>
      </c>
      <c r="D385" t="s">
        <v>64</v>
      </c>
      <c r="E385" t="s">
        <v>544</v>
      </c>
      <c r="F385" s="13">
        <v>1</v>
      </c>
      <c r="G385" s="14">
        <v>3395.41</v>
      </c>
      <c r="H385" s="13">
        <v>398</v>
      </c>
      <c r="I385" t="s">
        <v>77</v>
      </c>
    </row>
    <row r="386" spans="1:9" x14ac:dyDescent="0.3">
      <c r="A386">
        <v>1855</v>
      </c>
      <c r="B386" t="s">
        <v>546</v>
      </c>
      <c r="C386" t="s">
        <v>92</v>
      </c>
      <c r="D386" t="s">
        <v>64</v>
      </c>
      <c r="E386" t="s">
        <v>544</v>
      </c>
      <c r="F386" s="13">
        <v>1</v>
      </c>
      <c r="G386" s="14">
        <v>4030.21</v>
      </c>
      <c r="H386" s="13">
        <v>398</v>
      </c>
      <c r="I386" t="s">
        <v>77</v>
      </c>
    </row>
    <row r="387" spans="1:9" x14ac:dyDescent="0.3">
      <c r="A387">
        <v>2311</v>
      </c>
      <c r="B387" t="s">
        <v>360</v>
      </c>
      <c r="C387" t="s">
        <v>123</v>
      </c>
      <c r="D387" t="s">
        <v>65</v>
      </c>
      <c r="E387" t="s">
        <v>544</v>
      </c>
      <c r="F387" s="13">
        <v>1</v>
      </c>
      <c r="G387" s="14">
        <v>105.82</v>
      </c>
      <c r="H387" s="13">
        <v>398</v>
      </c>
      <c r="I387" t="s">
        <v>77</v>
      </c>
    </row>
    <row r="388" spans="1:9" x14ac:dyDescent="0.3">
      <c r="A388">
        <v>1417</v>
      </c>
      <c r="B388" t="s">
        <v>396</v>
      </c>
      <c r="C388" t="s">
        <v>137</v>
      </c>
      <c r="D388" t="s">
        <v>64</v>
      </c>
      <c r="E388" t="s">
        <v>547</v>
      </c>
      <c r="F388" s="13">
        <v>2</v>
      </c>
      <c r="G388" s="14">
        <v>5184.76</v>
      </c>
      <c r="H388" s="13">
        <v>397</v>
      </c>
      <c r="I388" t="s">
        <v>77</v>
      </c>
    </row>
    <row r="389" spans="1:9" x14ac:dyDescent="0.3">
      <c r="A389">
        <v>7740</v>
      </c>
      <c r="B389" t="s">
        <v>208</v>
      </c>
      <c r="C389" t="s">
        <v>92</v>
      </c>
      <c r="D389" t="s">
        <v>64</v>
      </c>
      <c r="E389" t="s">
        <v>547</v>
      </c>
      <c r="F389" s="13">
        <v>1</v>
      </c>
      <c r="G389" s="14">
        <v>165.47</v>
      </c>
      <c r="H389" s="13">
        <v>397</v>
      </c>
      <c r="I389" t="s">
        <v>77</v>
      </c>
    </row>
    <row r="390" spans="1:9" x14ac:dyDescent="0.3">
      <c r="A390">
        <v>694</v>
      </c>
      <c r="B390" t="s">
        <v>505</v>
      </c>
      <c r="C390" t="s">
        <v>133</v>
      </c>
      <c r="D390" t="s">
        <v>64</v>
      </c>
      <c r="E390" t="s">
        <v>548</v>
      </c>
      <c r="F390" s="13">
        <v>1</v>
      </c>
      <c r="G390" s="14">
        <v>120.65</v>
      </c>
      <c r="H390" s="13">
        <v>396</v>
      </c>
      <c r="I390" t="s">
        <v>77</v>
      </c>
    </row>
    <row r="391" spans="1:9" x14ac:dyDescent="0.3">
      <c r="A391">
        <v>1795</v>
      </c>
      <c r="B391" t="s">
        <v>388</v>
      </c>
      <c r="C391" t="s">
        <v>133</v>
      </c>
      <c r="D391" t="s">
        <v>64</v>
      </c>
      <c r="E391" t="s">
        <v>548</v>
      </c>
      <c r="F391" s="13">
        <v>1</v>
      </c>
      <c r="G391" s="14">
        <v>408.65</v>
      </c>
      <c r="H391" s="13">
        <v>396</v>
      </c>
      <c r="I391" t="s">
        <v>77</v>
      </c>
    </row>
    <row r="392" spans="1:9" x14ac:dyDescent="0.3">
      <c r="A392">
        <v>6670</v>
      </c>
      <c r="B392" t="s">
        <v>549</v>
      </c>
      <c r="C392" t="s">
        <v>90</v>
      </c>
      <c r="D392" t="s">
        <v>66</v>
      </c>
      <c r="E392" t="s">
        <v>548</v>
      </c>
      <c r="F392" s="13">
        <v>1</v>
      </c>
      <c r="G392" s="14">
        <v>1127.57</v>
      </c>
      <c r="H392" s="13">
        <v>396</v>
      </c>
      <c r="I392" t="s">
        <v>77</v>
      </c>
    </row>
    <row r="393" spans="1:9" x14ac:dyDescent="0.3">
      <c r="A393">
        <v>777</v>
      </c>
      <c r="B393" t="s">
        <v>550</v>
      </c>
      <c r="C393" t="s">
        <v>92</v>
      </c>
      <c r="D393" t="s">
        <v>64</v>
      </c>
      <c r="E393" t="s">
        <v>551</v>
      </c>
      <c r="F393" s="13">
        <v>2</v>
      </c>
      <c r="G393" s="14">
        <v>9836.7000000000007</v>
      </c>
      <c r="H393" s="13">
        <v>395</v>
      </c>
      <c r="I393" t="s">
        <v>77</v>
      </c>
    </row>
    <row r="394" spans="1:9" x14ac:dyDescent="0.3">
      <c r="A394">
        <v>4732</v>
      </c>
      <c r="B394" t="s">
        <v>552</v>
      </c>
      <c r="C394" t="s">
        <v>133</v>
      </c>
      <c r="D394" t="s">
        <v>64</v>
      </c>
      <c r="E394" t="s">
        <v>551</v>
      </c>
      <c r="F394" s="13">
        <v>1</v>
      </c>
      <c r="G394" s="14">
        <v>1301.26</v>
      </c>
      <c r="H394" s="13">
        <v>395</v>
      </c>
      <c r="I394" t="s">
        <v>77</v>
      </c>
    </row>
    <row r="395" spans="1:9" x14ac:dyDescent="0.3">
      <c r="A395">
        <v>6462</v>
      </c>
      <c r="B395" t="s">
        <v>297</v>
      </c>
      <c r="C395" t="s">
        <v>100</v>
      </c>
      <c r="D395" t="s">
        <v>66</v>
      </c>
      <c r="E395" t="s">
        <v>551</v>
      </c>
      <c r="F395" s="13">
        <v>1</v>
      </c>
      <c r="G395" s="14">
        <v>2084.38</v>
      </c>
      <c r="H395" s="13">
        <v>395</v>
      </c>
      <c r="I395" t="s">
        <v>77</v>
      </c>
    </row>
    <row r="396" spans="1:9" x14ac:dyDescent="0.3">
      <c r="A396">
        <v>6744</v>
      </c>
      <c r="B396" t="s">
        <v>176</v>
      </c>
      <c r="C396" t="s">
        <v>137</v>
      </c>
      <c r="D396" t="s">
        <v>64</v>
      </c>
      <c r="E396" t="s">
        <v>551</v>
      </c>
      <c r="F396" s="13">
        <v>1</v>
      </c>
      <c r="G396" s="14">
        <v>684.45</v>
      </c>
      <c r="H396" s="13">
        <v>395</v>
      </c>
      <c r="I396" t="s">
        <v>77</v>
      </c>
    </row>
    <row r="397" spans="1:9" x14ac:dyDescent="0.3">
      <c r="A397">
        <v>8447</v>
      </c>
      <c r="B397" t="s">
        <v>201</v>
      </c>
      <c r="C397" t="s">
        <v>95</v>
      </c>
      <c r="D397" t="s">
        <v>65</v>
      </c>
      <c r="E397" t="s">
        <v>551</v>
      </c>
      <c r="F397" s="13">
        <v>1</v>
      </c>
      <c r="G397" s="14">
        <v>363.76</v>
      </c>
      <c r="H397" s="13">
        <v>395</v>
      </c>
      <c r="I397" t="s">
        <v>77</v>
      </c>
    </row>
    <row r="398" spans="1:9" x14ac:dyDescent="0.3">
      <c r="A398">
        <v>8948</v>
      </c>
      <c r="B398" t="s">
        <v>364</v>
      </c>
      <c r="C398" t="s">
        <v>133</v>
      </c>
      <c r="D398" t="s">
        <v>64</v>
      </c>
      <c r="E398" t="s">
        <v>551</v>
      </c>
      <c r="F398" s="13">
        <v>1</v>
      </c>
      <c r="G398" s="14">
        <v>1154.5</v>
      </c>
      <c r="H398" s="13">
        <v>395</v>
      </c>
      <c r="I398" t="s">
        <v>77</v>
      </c>
    </row>
    <row r="399" spans="1:9" x14ac:dyDescent="0.3">
      <c r="A399">
        <v>2769</v>
      </c>
      <c r="B399" t="s">
        <v>553</v>
      </c>
      <c r="C399" t="s">
        <v>90</v>
      </c>
      <c r="D399" t="s">
        <v>66</v>
      </c>
      <c r="E399" t="s">
        <v>554</v>
      </c>
      <c r="F399" s="13">
        <v>1</v>
      </c>
      <c r="G399" s="14">
        <v>1847.67</v>
      </c>
      <c r="H399" s="13">
        <v>394</v>
      </c>
      <c r="I399" t="s">
        <v>77</v>
      </c>
    </row>
    <row r="400" spans="1:9" x14ac:dyDescent="0.3">
      <c r="A400">
        <v>3224</v>
      </c>
      <c r="B400" t="s">
        <v>555</v>
      </c>
      <c r="C400" t="s">
        <v>95</v>
      </c>
      <c r="D400" t="s">
        <v>65</v>
      </c>
      <c r="E400" t="s">
        <v>554</v>
      </c>
      <c r="F400" s="13">
        <v>1</v>
      </c>
      <c r="G400" s="14">
        <v>1660.91</v>
      </c>
      <c r="H400" s="13">
        <v>394</v>
      </c>
      <c r="I400" t="s">
        <v>77</v>
      </c>
    </row>
    <row r="401" spans="1:9" x14ac:dyDescent="0.3">
      <c r="A401">
        <v>5917</v>
      </c>
      <c r="B401" t="s">
        <v>556</v>
      </c>
      <c r="C401" t="s">
        <v>137</v>
      </c>
      <c r="D401" t="s">
        <v>64</v>
      </c>
      <c r="E401" t="s">
        <v>554</v>
      </c>
      <c r="F401" s="13">
        <v>1</v>
      </c>
      <c r="G401" s="14">
        <v>844.62</v>
      </c>
      <c r="H401" s="13">
        <v>394</v>
      </c>
      <c r="I401" t="s">
        <v>77</v>
      </c>
    </row>
    <row r="402" spans="1:9" x14ac:dyDescent="0.3">
      <c r="A402">
        <v>6449</v>
      </c>
      <c r="B402" t="s">
        <v>557</v>
      </c>
      <c r="C402" t="s">
        <v>92</v>
      </c>
      <c r="D402" t="s">
        <v>64</v>
      </c>
      <c r="E402" t="s">
        <v>554</v>
      </c>
      <c r="F402" s="13">
        <v>1</v>
      </c>
      <c r="G402" s="14">
        <v>6114.87</v>
      </c>
      <c r="H402" s="13">
        <v>394</v>
      </c>
      <c r="I402" t="s">
        <v>77</v>
      </c>
    </row>
    <row r="403" spans="1:9" x14ac:dyDescent="0.3">
      <c r="A403">
        <v>6784</v>
      </c>
      <c r="B403" t="s">
        <v>153</v>
      </c>
      <c r="C403" t="s">
        <v>90</v>
      </c>
      <c r="D403" t="s">
        <v>66</v>
      </c>
      <c r="E403" t="s">
        <v>554</v>
      </c>
      <c r="F403" s="13">
        <v>2</v>
      </c>
      <c r="G403" s="14">
        <v>6659.81</v>
      </c>
      <c r="H403" s="13">
        <v>394</v>
      </c>
      <c r="I403" t="s">
        <v>77</v>
      </c>
    </row>
    <row r="404" spans="1:9" x14ac:dyDescent="0.3">
      <c r="A404">
        <v>8761</v>
      </c>
      <c r="B404" t="s">
        <v>558</v>
      </c>
      <c r="C404" t="s">
        <v>92</v>
      </c>
      <c r="D404" t="s">
        <v>64</v>
      </c>
      <c r="E404" t="s">
        <v>554</v>
      </c>
      <c r="F404" s="13">
        <v>1</v>
      </c>
      <c r="G404" s="14">
        <v>227.56</v>
      </c>
      <c r="H404" s="13">
        <v>394</v>
      </c>
      <c r="I404" t="s">
        <v>77</v>
      </c>
    </row>
    <row r="405" spans="1:9" x14ac:dyDescent="0.3">
      <c r="A405">
        <v>2060</v>
      </c>
      <c r="B405" t="s">
        <v>559</v>
      </c>
      <c r="C405" t="s">
        <v>121</v>
      </c>
      <c r="D405" t="s">
        <v>67</v>
      </c>
      <c r="E405" t="s">
        <v>560</v>
      </c>
      <c r="F405" s="13">
        <v>1</v>
      </c>
      <c r="G405" s="14">
        <v>165.14</v>
      </c>
      <c r="H405" s="13">
        <v>393</v>
      </c>
      <c r="I405" t="s">
        <v>77</v>
      </c>
    </row>
    <row r="406" spans="1:9" x14ac:dyDescent="0.3">
      <c r="A406">
        <v>2424</v>
      </c>
      <c r="B406" t="s">
        <v>364</v>
      </c>
      <c r="C406" t="s">
        <v>137</v>
      </c>
      <c r="D406" t="s">
        <v>64</v>
      </c>
      <c r="E406" t="s">
        <v>560</v>
      </c>
      <c r="F406" s="13">
        <v>1</v>
      </c>
      <c r="G406" s="14">
        <v>112.5</v>
      </c>
      <c r="H406" s="13">
        <v>393</v>
      </c>
      <c r="I406" t="s">
        <v>77</v>
      </c>
    </row>
    <row r="407" spans="1:9" x14ac:dyDescent="0.3">
      <c r="A407">
        <v>7638</v>
      </c>
      <c r="B407" t="s">
        <v>561</v>
      </c>
      <c r="C407" t="s">
        <v>137</v>
      </c>
      <c r="D407" t="s">
        <v>64</v>
      </c>
      <c r="E407" t="s">
        <v>560</v>
      </c>
      <c r="F407" s="13">
        <v>2</v>
      </c>
      <c r="G407" s="14">
        <v>7784.61</v>
      </c>
      <c r="H407" s="13">
        <v>393</v>
      </c>
      <c r="I407" t="s">
        <v>77</v>
      </c>
    </row>
    <row r="408" spans="1:9" x14ac:dyDescent="0.3">
      <c r="A408">
        <v>8726</v>
      </c>
      <c r="B408" t="s">
        <v>562</v>
      </c>
      <c r="C408" t="s">
        <v>137</v>
      </c>
      <c r="D408" t="s">
        <v>64</v>
      </c>
      <c r="E408" t="s">
        <v>560</v>
      </c>
      <c r="F408" s="13">
        <v>1</v>
      </c>
      <c r="G408" s="14">
        <v>365.08</v>
      </c>
      <c r="H408" s="13">
        <v>393</v>
      </c>
      <c r="I408" t="s">
        <v>77</v>
      </c>
    </row>
    <row r="409" spans="1:9" x14ac:dyDescent="0.3">
      <c r="A409">
        <v>842</v>
      </c>
      <c r="B409" t="s">
        <v>509</v>
      </c>
      <c r="C409" t="s">
        <v>92</v>
      </c>
      <c r="D409" t="s">
        <v>64</v>
      </c>
      <c r="E409" t="s">
        <v>563</v>
      </c>
      <c r="F409" s="13">
        <v>1</v>
      </c>
      <c r="G409" s="14">
        <v>6699.11</v>
      </c>
      <c r="H409" s="13">
        <v>392</v>
      </c>
      <c r="I409" t="s">
        <v>77</v>
      </c>
    </row>
    <row r="410" spans="1:9" x14ac:dyDescent="0.3">
      <c r="A410">
        <v>1018</v>
      </c>
      <c r="B410" t="s">
        <v>543</v>
      </c>
      <c r="C410" t="s">
        <v>123</v>
      </c>
      <c r="D410" t="s">
        <v>65</v>
      </c>
      <c r="E410" t="s">
        <v>563</v>
      </c>
      <c r="F410" s="13">
        <v>1</v>
      </c>
      <c r="G410" s="14">
        <v>4296.1000000000004</v>
      </c>
      <c r="H410" s="13">
        <v>392</v>
      </c>
      <c r="I410" t="s">
        <v>77</v>
      </c>
    </row>
    <row r="411" spans="1:9" x14ac:dyDescent="0.3">
      <c r="A411">
        <v>4053</v>
      </c>
      <c r="B411" t="s">
        <v>564</v>
      </c>
      <c r="C411" t="s">
        <v>92</v>
      </c>
      <c r="D411" t="s">
        <v>64</v>
      </c>
      <c r="E411" t="s">
        <v>563</v>
      </c>
      <c r="F411" s="13">
        <v>1</v>
      </c>
      <c r="G411" s="14">
        <v>1174.6199999999999</v>
      </c>
      <c r="H411" s="13">
        <v>392</v>
      </c>
      <c r="I411" t="s">
        <v>77</v>
      </c>
    </row>
    <row r="412" spans="1:9" x14ac:dyDescent="0.3">
      <c r="A412">
        <v>4215</v>
      </c>
      <c r="B412" t="s">
        <v>449</v>
      </c>
      <c r="C412" t="s">
        <v>97</v>
      </c>
      <c r="D412" t="s">
        <v>65</v>
      </c>
      <c r="E412" t="s">
        <v>563</v>
      </c>
      <c r="F412" s="13">
        <v>1</v>
      </c>
      <c r="G412" s="14">
        <v>3958.72</v>
      </c>
      <c r="H412" s="13">
        <v>392</v>
      </c>
      <c r="I412" t="s">
        <v>77</v>
      </c>
    </row>
    <row r="413" spans="1:9" x14ac:dyDescent="0.3">
      <c r="A413">
        <v>6039</v>
      </c>
      <c r="B413" t="s">
        <v>201</v>
      </c>
      <c r="C413" t="s">
        <v>137</v>
      </c>
      <c r="D413" t="s">
        <v>64</v>
      </c>
      <c r="E413" t="s">
        <v>563</v>
      </c>
      <c r="F413" s="13">
        <v>2</v>
      </c>
      <c r="G413" s="14">
        <v>3856.88</v>
      </c>
      <c r="H413" s="13">
        <v>392</v>
      </c>
      <c r="I413" t="s">
        <v>77</v>
      </c>
    </row>
    <row r="414" spans="1:9" x14ac:dyDescent="0.3">
      <c r="A414">
        <v>896</v>
      </c>
      <c r="B414" t="s">
        <v>149</v>
      </c>
      <c r="C414" t="s">
        <v>97</v>
      </c>
      <c r="D414" t="s">
        <v>65</v>
      </c>
      <c r="E414" t="s">
        <v>565</v>
      </c>
      <c r="F414" s="13">
        <v>1</v>
      </c>
      <c r="G414" s="14">
        <v>3353.32</v>
      </c>
      <c r="H414" s="13">
        <v>391</v>
      </c>
      <c r="I414" t="s">
        <v>77</v>
      </c>
    </row>
    <row r="415" spans="1:9" x14ac:dyDescent="0.3">
      <c r="A415">
        <v>1174</v>
      </c>
      <c r="B415" t="s">
        <v>566</v>
      </c>
      <c r="C415" t="s">
        <v>114</v>
      </c>
      <c r="D415" t="s">
        <v>66</v>
      </c>
      <c r="E415" t="s">
        <v>565</v>
      </c>
      <c r="F415" s="13">
        <v>1</v>
      </c>
      <c r="G415" s="14">
        <v>1711.33</v>
      </c>
      <c r="H415" s="13">
        <v>391</v>
      </c>
      <c r="I415" t="s">
        <v>77</v>
      </c>
    </row>
    <row r="416" spans="1:9" x14ac:dyDescent="0.3">
      <c r="A416">
        <v>7066</v>
      </c>
      <c r="B416" t="s">
        <v>567</v>
      </c>
      <c r="C416" t="s">
        <v>92</v>
      </c>
      <c r="D416" t="s">
        <v>64</v>
      </c>
      <c r="E416" t="s">
        <v>565</v>
      </c>
      <c r="F416" s="13">
        <v>1</v>
      </c>
      <c r="G416" s="14">
        <v>2227.13</v>
      </c>
      <c r="H416" s="13">
        <v>391</v>
      </c>
      <c r="I416" t="s">
        <v>77</v>
      </c>
    </row>
    <row r="417" spans="1:9" x14ac:dyDescent="0.3">
      <c r="A417">
        <v>4409</v>
      </c>
      <c r="B417" t="s">
        <v>568</v>
      </c>
      <c r="C417" t="s">
        <v>121</v>
      </c>
      <c r="D417" t="s">
        <v>67</v>
      </c>
      <c r="E417" t="s">
        <v>569</v>
      </c>
      <c r="F417" s="13">
        <v>1</v>
      </c>
      <c r="G417" s="14">
        <v>4994.51</v>
      </c>
      <c r="H417" s="13">
        <v>390</v>
      </c>
      <c r="I417" t="s">
        <v>77</v>
      </c>
    </row>
    <row r="418" spans="1:9" x14ac:dyDescent="0.3">
      <c r="A418">
        <v>4580</v>
      </c>
      <c r="B418" t="s">
        <v>570</v>
      </c>
      <c r="C418" t="s">
        <v>137</v>
      </c>
      <c r="D418" t="s">
        <v>64</v>
      </c>
      <c r="E418" t="s">
        <v>569</v>
      </c>
      <c r="F418" s="13">
        <v>2</v>
      </c>
      <c r="G418" s="14">
        <v>4252.8100000000004</v>
      </c>
      <c r="H418" s="13">
        <v>390</v>
      </c>
      <c r="I418" t="s">
        <v>77</v>
      </c>
    </row>
    <row r="419" spans="1:9" x14ac:dyDescent="0.3">
      <c r="A419">
        <v>4839</v>
      </c>
      <c r="B419" t="s">
        <v>571</v>
      </c>
      <c r="C419" t="s">
        <v>92</v>
      </c>
      <c r="D419" t="s">
        <v>64</v>
      </c>
      <c r="E419" t="s">
        <v>569</v>
      </c>
      <c r="F419" s="13">
        <v>3</v>
      </c>
      <c r="G419" s="14">
        <v>6254.63</v>
      </c>
      <c r="H419" s="13">
        <v>390</v>
      </c>
      <c r="I419" t="s">
        <v>77</v>
      </c>
    </row>
    <row r="420" spans="1:9" x14ac:dyDescent="0.3">
      <c r="A420">
        <v>5595</v>
      </c>
      <c r="B420" t="s">
        <v>252</v>
      </c>
      <c r="C420" t="s">
        <v>137</v>
      </c>
      <c r="D420" t="s">
        <v>64</v>
      </c>
      <c r="E420" t="s">
        <v>569</v>
      </c>
      <c r="F420" s="13">
        <v>1</v>
      </c>
      <c r="G420" s="14">
        <v>437.2</v>
      </c>
      <c r="H420" s="13">
        <v>390</v>
      </c>
      <c r="I420" t="s">
        <v>77</v>
      </c>
    </row>
    <row r="421" spans="1:9" x14ac:dyDescent="0.3">
      <c r="A421">
        <v>7190</v>
      </c>
      <c r="B421" t="s">
        <v>572</v>
      </c>
      <c r="C421" t="s">
        <v>123</v>
      </c>
      <c r="D421" t="s">
        <v>65</v>
      </c>
      <c r="E421" t="s">
        <v>569</v>
      </c>
      <c r="F421" s="13">
        <v>2</v>
      </c>
      <c r="G421" s="14">
        <v>2635.12</v>
      </c>
      <c r="H421" s="13">
        <v>390</v>
      </c>
      <c r="I421" t="s">
        <v>77</v>
      </c>
    </row>
    <row r="422" spans="1:9" x14ac:dyDescent="0.3">
      <c r="A422">
        <v>8099</v>
      </c>
      <c r="B422" t="s">
        <v>573</v>
      </c>
      <c r="C422" t="s">
        <v>133</v>
      </c>
      <c r="D422" t="s">
        <v>64</v>
      </c>
      <c r="E422" t="s">
        <v>569</v>
      </c>
      <c r="F422" s="13">
        <v>1</v>
      </c>
      <c r="G422" s="14">
        <v>374.33</v>
      </c>
      <c r="H422" s="13">
        <v>390</v>
      </c>
      <c r="I422" t="s">
        <v>77</v>
      </c>
    </row>
    <row r="423" spans="1:9" x14ac:dyDescent="0.3">
      <c r="A423">
        <v>8890</v>
      </c>
      <c r="B423" t="s">
        <v>313</v>
      </c>
      <c r="C423" t="s">
        <v>103</v>
      </c>
      <c r="D423" t="s">
        <v>67</v>
      </c>
      <c r="E423" t="s">
        <v>569</v>
      </c>
      <c r="F423" s="13">
        <v>1</v>
      </c>
      <c r="G423" s="14">
        <v>609.45000000000005</v>
      </c>
      <c r="H423" s="13">
        <v>390</v>
      </c>
      <c r="I423" t="s">
        <v>77</v>
      </c>
    </row>
    <row r="424" spans="1:9" x14ac:dyDescent="0.3">
      <c r="A424">
        <v>8920</v>
      </c>
      <c r="B424" t="s">
        <v>574</v>
      </c>
      <c r="C424" t="s">
        <v>137</v>
      </c>
      <c r="D424" t="s">
        <v>64</v>
      </c>
      <c r="E424" t="s">
        <v>569</v>
      </c>
      <c r="F424" s="13">
        <v>1</v>
      </c>
      <c r="G424" s="14">
        <v>1299.51</v>
      </c>
      <c r="H424" s="13">
        <v>390</v>
      </c>
      <c r="I424" t="s">
        <v>77</v>
      </c>
    </row>
    <row r="425" spans="1:9" x14ac:dyDescent="0.3">
      <c r="A425">
        <v>401</v>
      </c>
      <c r="B425" t="s">
        <v>575</v>
      </c>
      <c r="C425" t="s">
        <v>92</v>
      </c>
      <c r="D425" t="s">
        <v>64</v>
      </c>
      <c r="E425" t="s">
        <v>576</v>
      </c>
      <c r="F425" s="13">
        <v>2</v>
      </c>
      <c r="G425" s="14">
        <v>4870.63</v>
      </c>
      <c r="H425" s="13">
        <v>389</v>
      </c>
      <c r="I425" t="s">
        <v>77</v>
      </c>
    </row>
    <row r="426" spans="1:9" x14ac:dyDescent="0.3">
      <c r="A426">
        <v>2211</v>
      </c>
      <c r="B426" t="s">
        <v>577</v>
      </c>
      <c r="C426" t="s">
        <v>133</v>
      </c>
      <c r="D426" t="s">
        <v>64</v>
      </c>
      <c r="E426" t="s">
        <v>576</v>
      </c>
      <c r="F426" s="13">
        <v>2</v>
      </c>
      <c r="G426" s="14">
        <v>4120.63</v>
      </c>
      <c r="H426" s="13">
        <v>389</v>
      </c>
      <c r="I426" t="s">
        <v>77</v>
      </c>
    </row>
    <row r="427" spans="1:9" x14ac:dyDescent="0.3">
      <c r="A427">
        <v>3324</v>
      </c>
      <c r="B427" t="s">
        <v>578</v>
      </c>
      <c r="C427" t="s">
        <v>137</v>
      </c>
      <c r="D427" t="s">
        <v>64</v>
      </c>
      <c r="E427" t="s">
        <v>576</v>
      </c>
      <c r="F427" s="13">
        <v>1</v>
      </c>
      <c r="G427" s="14">
        <v>409.12</v>
      </c>
      <c r="H427" s="13">
        <v>389</v>
      </c>
      <c r="I427" t="s">
        <v>77</v>
      </c>
    </row>
    <row r="428" spans="1:9" x14ac:dyDescent="0.3">
      <c r="A428">
        <v>3737</v>
      </c>
      <c r="B428" t="s">
        <v>204</v>
      </c>
      <c r="C428" t="s">
        <v>103</v>
      </c>
      <c r="D428" t="s">
        <v>67</v>
      </c>
      <c r="E428" t="s">
        <v>576</v>
      </c>
      <c r="F428" s="13">
        <v>1</v>
      </c>
      <c r="G428" s="14">
        <v>1295.04</v>
      </c>
      <c r="H428" s="13">
        <v>389</v>
      </c>
      <c r="I428" t="s">
        <v>77</v>
      </c>
    </row>
    <row r="429" spans="1:9" x14ac:dyDescent="0.3">
      <c r="A429">
        <v>6062</v>
      </c>
      <c r="B429" t="s">
        <v>202</v>
      </c>
      <c r="C429" t="s">
        <v>97</v>
      </c>
      <c r="D429" t="s">
        <v>65</v>
      </c>
      <c r="E429" t="s">
        <v>576</v>
      </c>
      <c r="F429" s="13">
        <v>5</v>
      </c>
      <c r="G429" s="14">
        <v>10134.84</v>
      </c>
      <c r="H429" s="13">
        <v>389</v>
      </c>
      <c r="I429" t="s">
        <v>77</v>
      </c>
    </row>
    <row r="430" spans="1:9" x14ac:dyDescent="0.3">
      <c r="A430">
        <v>7047</v>
      </c>
      <c r="B430" t="s">
        <v>579</v>
      </c>
      <c r="C430" t="s">
        <v>97</v>
      </c>
      <c r="D430" t="s">
        <v>65</v>
      </c>
      <c r="E430" t="s">
        <v>576</v>
      </c>
      <c r="F430" s="13">
        <v>1</v>
      </c>
      <c r="G430" s="14">
        <v>1622.33</v>
      </c>
      <c r="H430" s="13">
        <v>389</v>
      </c>
      <c r="I430" t="s">
        <v>77</v>
      </c>
    </row>
    <row r="431" spans="1:9" x14ac:dyDescent="0.3">
      <c r="A431">
        <v>390</v>
      </c>
      <c r="B431" t="s">
        <v>580</v>
      </c>
      <c r="C431" t="s">
        <v>95</v>
      </c>
      <c r="D431" t="s">
        <v>65</v>
      </c>
      <c r="E431" t="s">
        <v>581</v>
      </c>
      <c r="F431" s="13">
        <v>1</v>
      </c>
      <c r="G431" s="14">
        <v>3405.09</v>
      </c>
      <c r="H431" s="13">
        <v>388</v>
      </c>
      <c r="I431" t="s">
        <v>77</v>
      </c>
    </row>
    <row r="432" spans="1:9" x14ac:dyDescent="0.3">
      <c r="A432">
        <v>1701</v>
      </c>
      <c r="B432" t="s">
        <v>582</v>
      </c>
      <c r="C432" t="s">
        <v>137</v>
      </c>
      <c r="D432" t="s">
        <v>64</v>
      </c>
      <c r="E432" t="s">
        <v>581</v>
      </c>
      <c r="F432" s="13">
        <v>1</v>
      </c>
      <c r="G432" s="14">
        <v>2732.75</v>
      </c>
      <c r="H432" s="13">
        <v>388</v>
      </c>
      <c r="I432" t="s">
        <v>77</v>
      </c>
    </row>
    <row r="433" spans="1:9" x14ac:dyDescent="0.3">
      <c r="A433">
        <v>1975</v>
      </c>
      <c r="B433" t="s">
        <v>583</v>
      </c>
      <c r="C433" t="s">
        <v>92</v>
      </c>
      <c r="D433" t="s">
        <v>64</v>
      </c>
      <c r="E433" t="s">
        <v>581</v>
      </c>
      <c r="F433" s="13">
        <v>1</v>
      </c>
      <c r="G433" s="14">
        <v>4648.4799999999996</v>
      </c>
      <c r="H433" s="13">
        <v>388</v>
      </c>
      <c r="I433" t="s">
        <v>77</v>
      </c>
    </row>
    <row r="434" spans="1:9" x14ac:dyDescent="0.3">
      <c r="A434">
        <v>3837</v>
      </c>
      <c r="B434" t="s">
        <v>201</v>
      </c>
      <c r="C434" t="s">
        <v>97</v>
      </c>
      <c r="D434" t="s">
        <v>65</v>
      </c>
      <c r="E434" t="s">
        <v>581</v>
      </c>
      <c r="F434" s="13">
        <v>1</v>
      </c>
      <c r="G434" s="14">
        <v>4540.09</v>
      </c>
      <c r="H434" s="13">
        <v>388</v>
      </c>
      <c r="I434" t="s">
        <v>77</v>
      </c>
    </row>
    <row r="435" spans="1:9" x14ac:dyDescent="0.3">
      <c r="A435">
        <v>4584</v>
      </c>
      <c r="B435" t="s">
        <v>346</v>
      </c>
      <c r="C435" t="s">
        <v>92</v>
      </c>
      <c r="D435" t="s">
        <v>64</v>
      </c>
      <c r="E435" t="s">
        <v>581</v>
      </c>
      <c r="F435" s="13">
        <v>2</v>
      </c>
      <c r="G435" s="14">
        <v>1780.07</v>
      </c>
      <c r="H435" s="13">
        <v>388</v>
      </c>
      <c r="I435" t="s">
        <v>77</v>
      </c>
    </row>
    <row r="436" spans="1:9" x14ac:dyDescent="0.3">
      <c r="A436">
        <v>6230</v>
      </c>
      <c r="B436" t="s">
        <v>584</v>
      </c>
      <c r="C436" t="s">
        <v>123</v>
      </c>
      <c r="D436" t="s">
        <v>65</v>
      </c>
      <c r="E436" t="s">
        <v>581</v>
      </c>
      <c r="F436" s="13">
        <v>1</v>
      </c>
      <c r="G436" s="14">
        <v>839.8</v>
      </c>
      <c r="H436" s="13">
        <v>388</v>
      </c>
      <c r="I436" t="s">
        <v>77</v>
      </c>
    </row>
    <row r="437" spans="1:9" x14ac:dyDescent="0.3">
      <c r="A437">
        <v>1910</v>
      </c>
      <c r="B437" t="s">
        <v>585</v>
      </c>
      <c r="C437" t="s">
        <v>92</v>
      </c>
      <c r="D437" t="s">
        <v>64</v>
      </c>
      <c r="E437" t="s">
        <v>586</v>
      </c>
      <c r="F437" s="13">
        <v>1</v>
      </c>
      <c r="G437" s="14">
        <v>9012.07</v>
      </c>
      <c r="H437" s="13">
        <v>387</v>
      </c>
      <c r="I437" t="s">
        <v>77</v>
      </c>
    </row>
    <row r="438" spans="1:9" x14ac:dyDescent="0.3">
      <c r="A438">
        <v>2563</v>
      </c>
      <c r="B438" t="s">
        <v>587</v>
      </c>
      <c r="C438" t="s">
        <v>100</v>
      </c>
      <c r="D438" t="s">
        <v>66</v>
      </c>
      <c r="E438" t="s">
        <v>586</v>
      </c>
      <c r="F438" s="13">
        <v>2</v>
      </c>
      <c r="G438" s="14">
        <v>764.72</v>
      </c>
      <c r="H438" s="13">
        <v>387</v>
      </c>
      <c r="I438" t="s">
        <v>77</v>
      </c>
    </row>
    <row r="439" spans="1:9" x14ac:dyDescent="0.3">
      <c r="A439">
        <v>7340</v>
      </c>
      <c r="B439" t="s">
        <v>588</v>
      </c>
      <c r="C439" t="s">
        <v>90</v>
      </c>
      <c r="D439" t="s">
        <v>66</v>
      </c>
      <c r="E439" t="s">
        <v>586</v>
      </c>
      <c r="F439" s="13">
        <v>1</v>
      </c>
      <c r="G439" s="14">
        <v>2482.46</v>
      </c>
      <c r="H439" s="13">
        <v>387</v>
      </c>
      <c r="I439" t="s">
        <v>77</v>
      </c>
    </row>
    <row r="440" spans="1:9" x14ac:dyDescent="0.3">
      <c r="A440">
        <v>7813</v>
      </c>
      <c r="B440" t="s">
        <v>163</v>
      </c>
      <c r="C440" t="s">
        <v>92</v>
      </c>
      <c r="D440" t="s">
        <v>64</v>
      </c>
      <c r="E440" t="s">
        <v>586</v>
      </c>
      <c r="F440" s="13">
        <v>3</v>
      </c>
      <c r="G440" s="14">
        <v>4819.8599999999997</v>
      </c>
      <c r="H440" s="13">
        <v>387</v>
      </c>
      <c r="I440" t="s">
        <v>77</v>
      </c>
    </row>
    <row r="441" spans="1:9" x14ac:dyDescent="0.3">
      <c r="A441">
        <v>8581</v>
      </c>
      <c r="B441" t="s">
        <v>589</v>
      </c>
      <c r="C441" t="s">
        <v>92</v>
      </c>
      <c r="D441" t="s">
        <v>64</v>
      </c>
      <c r="E441" t="s">
        <v>586</v>
      </c>
      <c r="F441" s="13">
        <v>2</v>
      </c>
      <c r="G441" s="14">
        <v>2090.94</v>
      </c>
      <c r="H441" s="13">
        <v>387</v>
      </c>
      <c r="I441" t="s">
        <v>77</v>
      </c>
    </row>
    <row r="442" spans="1:9" x14ac:dyDescent="0.3">
      <c r="A442">
        <v>278</v>
      </c>
      <c r="B442" t="s">
        <v>590</v>
      </c>
      <c r="C442" t="s">
        <v>90</v>
      </c>
      <c r="D442" t="s">
        <v>66</v>
      </c>
      <c r="E442" t="s">
        <v>591</v>
      </c>
      <c r="F442" s="13">
        <v>1</v>
      </c>
      <c r="G442" s="14">
        <v>1266.8399999999999</v>
      </c>
      <c r="H442" s="13">
        <v>386</v>
      </c>
      <c r="I442" t="s">
        <v>77</v>
      </c>
    </row>
    <row r="443" spans="1:9" x14ac:dyDescent="0.3">
      <c r="A443">
        <v>7741</v>
      </c>
      <c r="B443" t="s">
        <v>592</v>
      </c>
      <c r="C443" t="s">
        <v>90</v>
      </c>
      <c r="D443" t="s">
        <v>66</v>
      </c>
      <c r="E443" t="s">
        <v>591</v>
      </c>
      <c r="F443" s="13">
        <v>3</v>
      </c>
      <c r="G443" s="14">
        <v>6259.24</v>
      </c>
      <c r="H443" s="13">
        <v>386</v>
      </c>
      <c r="I443" t="s">
        <v>77</v>
      </c>
    </row>
    <row r="444" spans="1:9" x14ac:dyDescent="0.3">
      <c r="A444">
        <v>7938</v>
      </c>
      <c r="B444" t="s">
        <v>506</v>
      </c>
      <c r="C444" t="s">
        <v>92</v>
      </c>
      <c r="D444" t="s">
        <v>64</v>
      </c>
      <c r="E444" t="s">
        <v>591</v>
      </c>
      <c r="F444" s="13">
        <v>2</v>
      </c>
      <c r="G444" s="14">
        <v>3486.04</v>
      </c>
      <c r="H444" s="13">
        <v>386</v>
      </c>
      <c r="I444" t="s">
        <v>77</v>
      </c>
    </row>
    <row r="445" spans="1:9" x14ac:dyDescent="0.3">
      <c r="A445">
        <v>1647</v>
      </c>
      <c r="B445" t="s">
        <v>593</v>
      </c>
      <c r="C445" t="s">
        <v>92</v>
      </c>
      <c r="D445" t="s">
        <v>64</v>
      </c>
      <c r="E445" t="s">
        <v>594</v>
      </c>
      <c r="F445" s="13">
        <v>1</v>
      </c>
      <c r="G445" s="14">
        <v>2001.35</v>
      </c>
      <c r="H445" s="13">
        <v>385</v>
      </c>
      <c r="I445" t="s">
        <v>77</v>
      </c>
    </row>
    <row r="446" spans="1:9" x14ac:dyDescent="0.3">
      <c r="A446">
        <v>1761</v>
      </c>
      <c r="B446" t="s">
        <v>138</v>
      </c>
      <c r="C446" t="s">
        <v>137</v>
      </c>
      <c r="D446" t="s">
        <v>64</v>
      </c>
      <c r="E446" t="s">
        <v>594</v>
      </c>
      <c r="F446" s="13">
        <v>4</v>
      </c>
      <c r="G446" s="14">
        <v>3469.37</v>
      </c>
      <c r="H446" s="13">
        <v>385</v>
      </c>
      <c r="I446" t="s">
        <v>77</v>
      </c>
    </row>
    <row r="447" spans="1:9" x14ac:dyDescent="0.3">
      <c r="A447">
        <v>4582</v>
      </c>
      <c r="B447" t="s">
        <v>318</v>
      </c>
      <c r="C447" t="s">
        <v>133</v>
      </c>
      <c r="D447" t="s">
        <v>64</v>
      </c>
      <c r="E447" t="s">
        <v>594</v>
      </c>
      <c r="F447" s="13">
        <v>1</v>
      </c>
      <c r="G447" s="14">
        <v>904.85</v>
      </c>
      <c r="H447" s="13">
        <v>385</v>
      </c>
      <c r="I447" t="s">
        <v>77</v>
      </c>
    </row>
    <row r="448" spans="1:9" x14ac:dyDescent="0.3">
      <c r="A448">
        <v>4700</v>
      </c>
      <c r="B448" t="s">
        <v>116</v>
      </c>
      <c r="C448" t="s">
        <v>90</v>
      </c>
      <c r="D448" t="s">
        <v>66</v>
      </c>
      <c r="E448" t="s">
        <v>594</v>
      </c>
      <c r="F448" s="13">
        <v>2</v>
      </c>
      <c r="G448" s="14">
        <v>2085.7800000000002</v>
      </c>
      <c r="H448" s="13">
        <v>385</v>
      </c>
      <c r="I448" t="s">
        <v>77</v>
      </c>
    </row>
    <row r="449" spans="1:9" x14ac:dyDescent="0.3">
      <c r="A449">
        <v>5695</v>
      </c>
      <c r="B449" t="s">
        <v>201</v>
      </c>
      <c r="C449" t="s">
        <v>92</v>
      </c>
      <c r="D449" t="s">
        <v>64</v>
      </c>
      <c r="E449" t="s">
        <v>594</v>
      </c>
      <c r="F449" s="13">
        <v>1</v>
      </c>
      <c r="G449" s="14">
        <v>355.07</v>
      </c>
      <c r="H449" s="13">
        <v>385</v>
      </c>
      <c r="I449" t="s">
        <v>77</v>
      </c>
    </row>
    <row r="450" spans="1:9" x14ac:dyDescent="0.3">
      <c r="A450">
        <v>5738</v>
      </c>
      <c r="B450" t="s">
        <v>595</v>
      </c>
      <c r="C450" t="s">
        <v>123</v>
      </c>
      <c r="D450" t="s">
        <v>65</v>
      </c>
      <c r="E450" t="s">
        <v>594</v>
      </c>
      <c r="F450" s="13">
        <v>2</v>
      </c>
      <c r="G450" s="14">
        <v>8507.64</v>
      </c>
      <c r="H450" s="13">
        <v>385</v>
      </c>
      <c r="I450" t="s">
        <v>77</v>
      </c>
    </row>
    <row r="451" spans="1:9" x14ac:dyDescent="0.3">
      <c r="A451">
        <v>7044</v>
      </c>
      <c r="B451" t="s">
        <v>596</v>
      </c>
      <c r="C451" t="s">
        <v>121</v>
      </c>
      <c r="D451" t="s">
        <v>67</v>
      </c>
      <c r="E451" t="s">
        <v>594</v>
      </c>
      <c r="F451" s="13">
        <v>1</v>
      </c>
      <c r="G451" s="14">
        <v>2624.57</v>
      </c>
      <c r="H451" s="13">
        <v>385</v>
      </c>
      <c r="I451" t="s">
        <v>77</v>
      </c>
    </row>
    <row r="452" spans="1:9" x14ac:dyDescent="0.3">
      <c r="A452">
        <v>8670</v>
      </c>
      <c r="B452" t="s">
        <v>333</v>
      </c>
      <c r="C452" t="s">
        <v>87</v>
      </c>
      <c r="D452" t="s">
        <v>64</v>
      </c>
      <c r="E452" t="s">
        <v>594</v>
      </c>
      <c r="F452" s="13">
        <v>1</v>
      </c>
      <c r="G452" s="14">
        <v>4943.9799999999996</v>
      </c>
      <c r="H452" s="13">
        <v>385</v>
      </c>
      <c r="I452" t="s">
        <v>77</v>
      </c>
    </row>
    <row r="453" spans="1:9" x14ac:dyDescent="0.3">
      <c r="A453">
        <v>542</v>
      </c>
      <c r="B453" t="s">
        <v>597</v>
      </c>
      <c r="C453" t="s">
        <v>123</v>
      </c>
      <c r="D453" t="s">
        <v>65</v>
      </c>
      <c r="E453" t="s">
        <v>598</v>
      </c>
      <c r="F453" s="13">
        <v>1</v>
      </c>
      <c r="G453" s="14">
        <v>1715.34</v>
      </c>
      <c r="H453" s="13">
        <v>384</v>
      </c>
      <c r="I453" t="s">
        <v>77</v>
      </c>
    </row>
    <row r="454" spans="1:9" x14ac:dyDescent="0.3">
      <c r="A454">
        <v>887</v>
      </c>
      <c r="B454" t="s">
        <v>599</v>
      </c>
      <c r="C454" t="s">
        <v>92</v>
      </c>
      <c r="D454" t="s">
        <v>64</v>
      </c>
      <c r="E454" t="s">
        <v>598</v>
      </c>
      <c r="F454" s="13">
        <v>1</v>
      </c>
      <c r="G454" s="14">
        <v>370.75</v>
      </c>
      <c r="H454" s="13">
        <v>384</v>
      </c>
      <c r="I454" t="s">
        <v>77</v>
      </c>
    </row>
    <row r="455" spans="1:9" x14ac:dyDescent="0.3">
      <c r="A455">
        <v>3813</v>
      </c>
      <c r="B455" t="s">
        <v>204</v>
      </c>
      <c r="C455" t="s">
        <v>103</v>
      </c>
      <c r="D455" t="s">
        <v>67</v>
      </c>
      <c r="E455" t="s">
        <v>598</v>
      </c>
      <c r="F455" s="13">
        <v>1</v>
      </c>
      <c r="G455" s="14">
        <v>3775.09</v>
      </c>
      <c r="H455" s="13">
        <v>384</v>
      </c>
      <c r="I455" t="s">
        <v>77</v>
      </c>
    </row>
    <row r="456" spans="1:9" x14ac:dyDescent="0.3">
      <c r="A456">
        <v>5154</v>
      </c>
      <c r="B456" t="s">
        <v>600</v>
      </c>
      <c r="C456" t="s">
        <v>92</v>
      </c>
      <c r="D456" t="s">
        <v>64</v>
      </c>
      <c r="E456" t="s">
        <v>598</v>
      </c>
      <c r="F456" s="13">
        <v>1</v>
      </c>
      <c r="G456" s="14">
        <v>1866.67</v>
      </c>
      <c r="H456" s="13">
        <v>384</v>
      </c>
      <c r="I456" t="s">
        <v>77</v>
      </c>
    </row>
    <row r="457" spans="1:9" x14ac:dyDescent="0.3">
      <c r="A457">
        <v>6179</v>
      </c>
      <c r="B457" t="s">
        <v>601</v>
      </c>
      <c r="C457" t="s">
        <v>123</v>
      </c>
      <c r="D457" t="s">
        <v>65</v>
      </c>
      <c r="E457" t="s">
        <v>598</v>
      </c>
      <c r="F457" s="13">
        <v>1</v>
      </c>
      <c r="G457" s="14">
        <v>3510.08</v>
      </c>
      <c r="H457" s="13">
        <v>384</v>
      </c>
      <c r="I457" t="s">
        <v>77</v>
      </c>
    </row>
    <row r="458" spans="1:9" x14ac:dyDescent="0.3">
      <c r="A458">
        <v>8325</v>
      </c>
      <c r="B458" t="s">
        <v>277</v>
      </c>
      <c r="C458" t="s">
        <v>92</v>
      </c>
      <c r="D458" t="s">
        <v>64</v>
      </c>
      <c r="E458" t="s">
        <v>598</v>
      </c>
      <c r="F458" s="13">
        <v>5</v>
      </c>
      <c r="G458" s="14">
        <v>21442.78</v>
      </c>
      <c r="H458" s="13">
        <v>384</v>
      </c>
      <c r="I458" t="s">
        <v>77</v>
      </c>
    </row>
    <row r="459" spans="1:9" x14ac:dyDescent="0.3">
      <c r="A459">
        <v>1821</v>
      </c>
      <c r="B459" t="s">
        <v>277</v>
      </c>
      <c r="C459" t="s">
        <v>90</v>
      </c>
      <c r="D459" t="s">
        <v>66</v>
      </c>
      <c r="E459" t="s">
        <v>602</v>
      </c>
      <c r="F459" s="13">
        <v>1</v>
      </c>
      <c r="G459" s="14">
        <v>3115.36</v>
      </c>
      <c r="H459" s="13">
        <v>383</v>
      </c>
      <c r="I459" t="s">
        <v>77</v>
      </c>
    </row>
    <row r="460" spans="1:9" x14ac:dyDescent="0.3">
      <c r="A460">
        <v>2391</v>
      </c>
      <c r="B460" t="s">
        <v>407</v>
      </c>
      <c r="C460" t="s">
        <v>92</v>
      </c>
      <c r="D460" t="s">
        <v>64</v>
      </c>
      <c r="E460" t="s">
        <v>602</v>
      </c>
      <c r="F460" s="13">
        <v>1</v>
      </c>
      <c r="G460" s="14">
        <v>3744.65</v>
      </c>
      <c r="H460" s="13">
        <v>383</v>
      </c>
      <c r="I460" t="s">
        <v>77</v>
      </c>
    </row>
    <row r="461" spans="1:9" x14ac:dyDescent="0.3">
      <c r="A461">
        <v>2425</v>
      </c>
      <c r="B461" t="s">
        <v>603</v>
      </c>
      <c r="C461" t="s">
        <v>133</v>
      </c>
      <c r="D461" t="s">
        <v>64</v>
      </c>
      <c r="E461" t="s">
        <v>602</v>
      </c>
      <c r="F461" s="13">
        <v>2</v>
      </c>
      <c r="G461" s="14">
        <v>1458.7</v>
      </c>
      <c r="H461" s="13">
        <v>383</v>
      </c>
      <c r="I461" t="s">
        <v>77</v>
      </c>
    </row>
    <row r="462" spans="1:9" x14ac:dyDescent="0.3">
      <c r="A462">
        <v>2955</v>
      </c>
      <c r="B462" t="s">
        <v>604</v>
      </c>
      <c r="C462" t="s">
        <v>100</v>
      </c>
      <c r="D462" t="s">
        <v>66</v>
      </c>
      <c r="E462" t="s">
        <v>602</v>
      </c>
      <c r="F462" s="13">
        <v>2</v>
      </c>
      <c r="G462" s="14">
        <v>10862.01</v>
      </c>
      <c r="H462" s="13">
        <v>383</v>
      </c>
      <c r="I462" t="s">
        <v>77</v>
      </c>
    </row>
    <row r="463" spans="1:9" x14ac:dyDescent="0.3">
      <c r="A463">
        <v>3935</v>
      </c>
      <c r="B463" t="s">
        <v>605</v>
      </c>
      <c r="C463" t="s">
        <v>97</v>
      </c>
      <c r="D463" t="s">
        <v>65</v>
      </c>
      <c r="E463" t="s">
        <v>602</v>
      </c>
      <c r="F463" s="13">
        <v>1</v>
      </c>
      <c r="G463" s="14">
        <v>1367.5</v>
      </c>
      <c r="H463" s="13">
        <v>383</v>
      </c>
      <c r="I463" t="s">
        <v>77</v>
      </c>
    </row>
    <row r="464" spans="1:9" x14ac:dyDescent="0.3">
      <c r="A464">
        <v>4576</v>
      </c>
      <c r="B464" t="s">
        <v>606</v>
      </c>
      <c r="C464" t="s">
        <v>90</v>
      </c>
      <c r="D464" t="s">
        <v>66</v>
      </c>
      <c r="E464" t="s">
        <v>602</v>
      </c>
      <c r="F464" s="13">
        <v>1</v>
      </c>
      <c r="G464" s="14">
        <v>1540.84</v>
      </c>
      <c r="H464" s="13">
        <v>383</v>
      </c>
      <c r="I464" t="s">
        <v>77</v>
      </c>
    </row>
    <row r="465" spans="1:9" x14ac:dyDescent="0.3">
      <c r="A465">
        <v>4604</v>
      </c>
      <c r="B465" t="s">
        <v>607</v>
      </c>
      <c r="C465" t="s">
        <v>95</v>
      </c>
      <c r="D465" t="s">
        <v>65</v>
      </c>
      <c r="E465" t="s">
        <v>602</v>
      </c>
      <c r="F465" s="13">
        <v>2</v>
      </c>
      <c r="G465" s="14">
        <v>3977.17</v>
      </c>
      <c r="H465" s="13">
        <v>383</v>
      </c>
      <c r="I465" t="s">
        <v>77</v>
      </c>
    </row>
    <row r="466" spans="1:9" x14ac:dyDescent="0.3">
      <c r="A466">
        <v>4673</v>
      </c>
      <c r="B466" t="s">
        <v>608</v>
      </c>
      <c r="C466" t="s">
        <v>97</v>
      </c>
      <c r="D466" t="s">
        <v>65</v>
      </c>
      <c r="E466" t="s">
        <v>602</v>
      </c>
      <c r="F466" s="13">
        <v>1</v>
      </c>
      <c r="G466" s="14">
        <v>1970.87</v>
      </c>
      <c r="H466" s="13">
        <v>383</v>
      </c>
      <c r="I466" t="s">
        <v>77</v>
      </c>
    </row>
    <row r="467" spans="1:9" x14ac:dyDescent="0.3">
      <c r="A467">
        <v>5183</v>
      </c>
      <c r="B467" t="s">
        <v>609</v>
      </c>
      <c r="C467" t="s">
        <v>90</v>
      </c>
      <c r="D467" t="s">
        <v>66</v>
      </c>
      <c r="E467" t="s">
        <v>602</v>
      </c>
      <c r="F467" s="13">
        <v>2</v>
      </c>
      <c r="G467" s="14">
        <v>2245.92</v>
      </c>
      <c r="H467" s="13">
        <v>383</v>
      </c>
      <c r="I467" t="s">
        <v>77</v>
      </c>
    </row>
    <row r="468" spans="1:9" x14ac:dyDescent="0.3">
      <c r="A468">
        <v>7083</v>
      </c>
      <c r="B468" t="s">
        <v>610</v>
      </c>
      <c r="C468" t="s">
        <v>137</v>
      </c>
      <c r="D468" t="s">
        <v>64</v>
      </c>
      <c r="E468" t="s">
        <v>602</v>
      </c>
      <c r="F468" s="13">
        <v>1</v>
      </c>
      <c r="G468" s="14">
        <v>599.16999999999996</v>
      </c>
      <c r="H468" s="13">
        <v>383</v>
      </c>
      <c r="I468" t="s">
        <v>77</v>
      </c>
    </row>
    <row r="469" spans="1:9" x14ac:dyDescent="0.3">
      <c r="A469">
        <v>8054</v>
      </c>
      <c r="B469" t="s">
        <v>611</v>
      </c>
      <c r="C469" t="s">
        <v>133</v>
      </c>
      <c r="D469" t="s">
        <v>64</v>
      </c>
      <c r="E469" t="s">
        <v>602</v>
      </c>
      <c r="F469" s="13">
        <v>2</v>
      </c>
      <c r="G469" s="14">
        <v>1397.83</v>
      </c>
      <c r="H469" s="13">
        <v>383</v>
      </c>
      <c r="I469" t="s">
        <v>77</v>
      </c>
    </row>
    <row r="470" spans="1:9" x14ac:dyDescent="0.3">
      <c r="A470">
        <v>93</v>
      </c>
      <c r="B470" t="s">
        <v>612</v>
      </c>
      <c r="C470" t="s">
        <v>92</v>
      </c>
      <c r="D470" t="s">
        <v>64</v>
      </c>
      <c r="E470" t="s">
        <v>613</v>
      </c>
      <c r="F470" s="13">
        <v>2</v>
      </c>
      <c r="G470" s="14">
        <v>1568.56</v>
      </c>
      <c r="H470" s="13">
        <v>382</v>
      </c>
      <c r="I470" t="s">
        <v>77</v>
      </c>
    </row>
    <row r="471" spans="1:9" x14ac:dyDescent="0.3">
      <c r="A471">
        <v>2257</v>
      </c>
      <c r="B471" t="s">
        <v>614</v>
      </c>
      <c r="C471" t="s">
        <v>156</v>
      </c>
      <c r="D471" t="s">
        <v>68</v>
      </c>
      <c r="E471" t="s">
        <v>613</v>
      </c>
      <c r="F471" s="13">
        <v>1</v>
      </c>
      <c r="G471" s="14">
        <v>1507.17</v>
      </c>
      <c r="H471" s="13">
        <v>382</v>
      </c>
      <c r="I471" t="s">
        <v>77</v>
      </c>
    </row>
    <row r="472" spans="1:9" x14ac:dyDescent="0.3">
      <c r="A472">
        <v>3106</v>
      </c>
      <c r="B472" t="s">
        <v>615</v>
      </c>
      <c r="C472" t="s">
        <v>92</v>
      </c>
      <c r="D472" t="s">
        <v>64</v>
      </c>
      <c r="E472" t="s">
        <v>613</v>
      </c>
      <c r="F472" s="13">
        <v>2</v>
      </c>
      <c r="G472" s="14">
        <v>2116.4499999999998</v>
      </c>
      <c r="H472" s="13">
        <v>382</v>
      </c>
      <c r="I472" t="s">
        <v>77</v>
      </c>
    </row>
    <row r="473" spans="1:9" x14ac:dyDescent="0.3">
      <c r="A473">
        <v>6436</v>
      </c>
      <c r="B473" t="s">
        <v>616</v>
      </c>
      <c r="C473" t="s">
        <v>97</v>
      </c>
      <c r="D473" t="s">
        <v>65</v>
      </c>
      <c r="E473" t="s">
        <v>613</v>
      </c>
      <c r="F473" s="13">
        <v>2</v>
      </c>
      <c r="G473" s="14">
        <v>4431.97</v>
      </c>
      <c r="H473" s="13">
        <v>382</v>
      </c>
      <c r="I473" t="s">
        <v>77</v>
      </c>
    </row>
    <row r="474" spans="1:9" x14ac:dyDescent="0.3">
      <c r="A474">
        <v>7821</v>
      </c>
      <c r="B474" t="s">
        <v>617</v>
      </c>
      <c r="C474" t="s">
        <v>133</v>
      </c>
      <c r="D474" t="s">
        <v>64</v>
      </c>
      <c r="E474" t="s">
        <v>613</v>
      </c>
      <c r="F474" s="13">
        <v>3</v>
      </c>
      <c r="G474" s="14">
        <v>4242.76</v>
      </c>
      <c r="H474" s="13">
        <v>382</v>
      </c>
      <c r="I474" t="s">
        <v>77</v>
      </c>
    </row>
    <row r="475" spans="1:9" x14ac:dyDescent="0.3">
      <c r="A475">
        <v>16</v>
      </c>
      <c r="B475" t="s">
        <v>142</v>
      </c>
      <c r="C475" t="s">
        <v>249</v>
      </c>
      <c r="D475" t="s">
        <v>67</v>
      </c>
      <c r="E475" t="s">
        <v>618</v>
      </c>
      <c r="F475" s="13">
        <v>3</v>
      </c>
      <c r="G475" s="14">
        <v>2399.23</v>
      </c>
      <c r="H475" s="13">
        <v>381</v>
      </c>
      <c r="I475" t="s">
        <v>77</v>
      </c>
    </row>
    <row r="476" spans="1:9" x14ac:dyDescent="0.3">
      <c r="A476">
        <v>1067</v>
      </c>
      <c r="B476" t="s">
        <v>588</v>
      </c>
      <c r="C476" t="s">
        <v>92</v>
      </c>
      <c r="D476" t="s">
        <v>64</v>
      </c>
      <c r="E476" t="s">
        <v>618</v>
      </c>
      <c r="F476" s="13">
        <v>1</v>
      </c>
      <c r="G476" s="14">
        <v>1814.94</v>
      </c>
      <c r="H476" s="13">
        <v>381</v>
      </c>
      <c r="I476" t="s">
        <v>77</v>
      </c>
    </row>
    <row r="477" spans="1:9" x14ac:dyDescent="0.3">
      <c r="A477">
        <v>1913</v>
      </c>
      <c r="B477" t="s">
        <v>619</v>
      </c>
      <c r="C477" t="s">
        <v>133</v>
      </c>
      <c r="D477" t="s">
        <v>64</v>
      </c>
      <c r="E477" t="s">
        <v>618</v>
      </c>
      <c r="F477" s="13">
        <v>1</v>
      </c>
      <c r="G477" s="14">
        <v>516.91999999999996</v>
      </c>
      <c r="H477" s="13">
        <v>381</v>
      </c>
      <c r="I477" t="s">
        <v>77</v>
      </c>
    </row>
    <row r="478" spans="1:9" x14ac:dyDescent="0.3">
      <c r="A478">
        <v>2956</v>
      </c>
      <c r="B478" t="s">
        <v>400</v>
      </c>
      <c r="C478" t="s">
        <v>133</v>
      </c>
      <c r="D478" t="s">
        <v>64</v>
      </c>
      <c r="E478" t="s">
        <v>618</v>
      </c>
      <c r="F478" s="13">
        <v>1</v>
      </c>
      <c r="G478" s="14">
        <v>259.88</v>
      </c>
      <c r="H478" s="13">
        <v>381</v>
      </c>
      <c r="I478" t="s">
        <v>77</v>
      </c>
    </row>
    <row r="479" spans="1:9" x14ac:dyDescent="0.3">
      <c r="A479">
        <v>6044</v>
      </c>
      <c r="B479" t="s">
        <v>163</v>
      </c>
      <c r="C479" t="s">
        <v>92</v>
      </c>
      <c r="D479" t="s">
        <v>64</v>
      </c>
      <c r="E479" t="s">
        <v>618</v>
      </c>
      <c r="F479" s="13">
        <v>1</v>
      </c>
      <c r="G479" s="14">
        <v>515.17999999999995</v>
      </c>
      <c r="H479" s="13">
        <v>381</v>
      </c>
      <c r="I479" t="s">
        <v>77</v>
      </c>
    </row>
    <row r="480" spans="1:9" x14ac:dyDescent="0.3">
      <c r="A480">
        <v>477</v>
      </c>
      <c r="B480" t="s">
        <v>302</v>
      </c>
      <c r="C480" t="s">
        <v>121</v>
      </c>
      <c r="D480" t="s">
        <v>67</v>
      </c>
      <c r="E480" t="s">
        <v>620</v>
      </c>
      <c r="F480" s="13">
        <v>4</v>
      </c>
      <c r="G480" s="14">
        <v>5165.2700000000004</v>
      </c>
      <c r="H480" s="13">
        <v>380</v>
      </c>
      <c r="I480" t="s">
        <v>77</v>
      </c>
    </row>
    <row r="481" spans="1:9" x14ac:dyDescent="0.3">
      <c r="A481">
        <v>2301</v>
      </c>
      <c r="B481" t="s">
        <v>621</v>
      </c>
      <c r="C481" t="s">
        <v>137</v>
      </c>
      <c r="D481" t="s">
        <v>64</v>
      </c>
      <c r="E481" t="s">
        <v>620</v>
      </c>
      <c r="F481" s="13">
        <v>1</v>
      </c>
      <c r="G481" s="14">
        <v>419.91</v>
      </c>
      <c r="H481" s="13">
        <v>380</v>
      </c>
      <c r="I481" t="s">
        <v>77</v>
      </c>
    </row>
    <row r="482" spans="1:9" x14ac:dyDescent="0.3">
      <c r="A482">
        <v>2380</v>
      </c>
      <c r="B482" t="s">
        <v>86</v>
      </c>
      <c r="C482" t="s">
        <v>92</v>
      </c>
      <c r="D482" t="s">
        <v>64</v>
      </c>
      <c r="E482" t="s">
        <v>620</v>
      </c>
      <c r="F482" s="13">
        <v>1</v>
      </c>
      <c r="G482" s="14">
        <v>8675.57</v>
      </c>
      <c r="H482" s="13">
        <v>380</v>
      </c>
      <c r="I482" t="s">
        <v>77</v>
      </c>
    </row>
    <row r="483" spans="1:9" x14ac:dyDescent="0.3">
      <c r="A483">
        <v>2469</v>
      </c>
      <c r="B483" t="s">
        <v>582</v>
      </c>
      <c r="C483" t="s">
        <v>114</v>
      </c>
      <c r="D483" t="s">
        <v>66</v>
      </c>
      <c r="E483" t="s">
        <v>620</v>
      </c>
      <c r="F483" s="13">
        <v>1</v>
      </c>
      <c r="G483" s="14">
        <v>721.55</v>
      </c>
      <c r="H483" s="13">
        <v>380</v>
      </c>
      <c r="I483" t="s">
        <v>77</v>
      </c>
    </row>
    <row r="484" spans="1:9" x14ac:dyDescent="0.3">
      <c r="A484">
        <v>2550</v>
      </c>
      <c r="B484" t="s">
        <v>622</v>
      </c>
      <c r="C484" t="s">
        <v>114</v>
      </c>
      <c r="D484" t="s">
        <v>66</v>
      </c>
      <c r="E484" t="s">
        <v>620</v>
      </c>
      <c r="F484" s="13">
        <v>1</v>
      </c>
      <c r="G484" s="14">
        <v>2705.68</v>
      </c>
      <c r="H484" s="13">
        <v>380</v>
      </c>
      <c r="I484" t="s">
        <v>77</v>
      </c>
    </row>
    <row r="485" spans="1:9" x14ac:dyDescent="0.3">
      <c r="A485">
        <v>8058</v>
      </c>
      <c r="B485" t="s">
        <v>582</v>
      </c>
      <c r="C485" t="s">
        <v>92</v>
      </c>
      <c r="D485" t="s">
        <v>64</v>
      </c>
      <c r="E485" t="s">
        <v>620</v>
      </c>
      <c r="F485" s="13">
        <v>2</v>
      </c>
      <c r="G485" s="14">
        <v>1534.6</v>
      </c>
      <c r="H485" s="13">
        <v>380</v>
      </c>
      <c r="I485" t="s">
        <v>77</v>
      </c>
    </row>
    <row r="486" spans="1:9" x14ac:dyDescent="0.3">
      <c r="A486">
        <v>8437</v>
      </c>
      <c r="B486" t="s">
        <v>623</v>
      </c>
      <c r="C486" t="s">
        <v>123</v>
      </c>
      <c r="D486" t="s">
        <v>65</v>
      </c>
      <c r="E486" t="s">
        <v>620</v>
      </c>
      <c r="F486" s="13">
        <v>2</v>
      </c>
      <c r="G486" s="14">
        <v>3076.07</v>
      </c>
      <c r="H486" s="13">
        <v>380</v>
      </c>
      <c r="I486" t="s">
        <v>77</v>
      </c>
    </row>
    <row r="487" spans="1:9" x14ac:dyDescent="0.3">
      <c r="A487">
        <v>2298</v>
      </c>
      <c r="B487" t="s">
        <v>624</v>
      </c>
      <c r="C487" t="s">
        <v>92</v>
      </c>
      <c r="D487" t="s">
        <v>64</v>
      </c>
      <c r="E487" t="s">
        <v>625</v>
      </c>
      <c r="F487" s="13">
        <v>1</v>
      </c>
      <c r="G487" s="14">
        <v>1726.83</v>
      </c>
      <c r="H487" s="13">
        <v>379</v>
      </c>
      <c r="I487" t="s">
        <v>77</v>
      </c>
    </row>
    <row r="488" spans="1:9" x14ac:dyDescent="0.3">
      <c r="A488">
        <v>2545</v>
      </c>
      <c r="B488" t="s">
        <v>191</v>
      </c>
      <c r="C488" t="s">
        <v>97</v>
      </c>
      <c r="D488" t="s">
        <v>65</v>
      </c>
      <c r="E488" t="s">
        <v>625</v>
      </c>
      <c r="F488" s="13">
        <v>3</v>
      </c>
      <c r="G488" s="14">
        <v>8263</v>
      </c>
      <c r="H488" s="13">
        <v>379</v>
      </c>
      <c r="I488" t="s">
        <v>77</v>
      </c>
    </row>
    <row r="489" spans="1:9" x14ac:dyDescent="0.3">
      <c r="A489">
        <v>2986</v>
      </c>
      <c r="B489" t="s">
        <v>626</v>
      </c>
      <c r="C489" t="s">
        <v>123</v>
      </c>
      <c r="D489" t="s">
        <v>65</v>
      </c>
      <c r="E489" t="s">
        <v>625</v>
      </c>
      <c r="F489" s="13">
        <v>2</v>
      </c>
      <c r="G489" s="14">
        <v>1879.2</v>
      </c>
      <c r="H489" s="13">
        <v>379</v>
      </c>
      <c r="I489" t="s">
        <v>77</v>
      </c>
    </row>
    <row r="490" spans="1:9" x14ac:dyDescent="0.3">
      <c r="A490">
        <v>4976</v>
      </c>
      <c r="B490" t="s">
        <v>606</v>
      </c>
      <c r="C490" t="s">
        <v>137</v>
      </c>
      <c r="D490" t="s">
        <v>64</v>
      </c>
      <c r="E490" t="s">
        <v>625</v>
      </c>
      <c r="F490" s="13">
        <v>1</v>
      </c>
      <c r="G490" s="14">
        <v>1484.51</v>
      </c>
      <c r="H490" s="13">
        <v>379</v>
      </c>
      <c r="I490" t="s">
        <v>77</v>
      </c>
    </row>
    <row r="491" spans="1:9" x14ac:dyDescent="0.3">
      <c r="A491">
        <v>7417</v>
      </c>
      <c r="B491" t="s">
        <v>627</v>
      </c>
      <c r="C491" t="s">
        <v>123</v>
      </c>
      <c r="D491" t="s">
        <v>65</v>
      </c>
      <c r="E491" t="s">
        <v>625</v>
      </c>
      <c r="F491" s="13">
        <v>1</v>
      </c>
      <c r="G491" s="14">
        <v>634.04</v>
      </c>
      <c r="H491" s="13">
        <v>379</v>
      </c>
      <c r="I491" t="s">
        <v>77</v>
      </c>
    </row>
    <row r="492" spans="1:9" x14ac:dyDescent="0.3">
      <c r="A492">
        <v>4663</v>
      </c>
      <c r="B492" t="s">
        <v>628</v>
      </c>
      <c r="C492" t="s">
        <v>92</v>
      </c>
      <c r="D492" t="s">
        <v>64</v>
      </c>
      <c r="E492" t="s">
        <v>629</v>
      </c>
      <c r="F492" s="13">
        <v>1</v>
      </c>
      <c r="G492" s="14">
        <v>304.83999999999997</v>
      </c>
      <c r="H492" s="13">
        <v>378</v>
      </c>
      <c r="I492" t="s">
        <v>77</v>
      </c>
    </row>
    <row r="493" spans="1:9" x14ac:dyDescent="0.3">
      <c r="A493">
        <v>5156</v>
      </c>
      <c r="B493" t="s">
        <v>414</v>
      </c>
      <c r="C493" t="s">
        <v>90</v>
      </c>
      <c r="D493" t="s">
        <v>66</v>
      </c>
      <c r="E493" t="s">
        <v>629</v>
      </c>
      <c r="F493" s="13">
        <v>2</v>
      </c>
      <c r="G493" s="14">
        <v>3317.83</v>
      </c>
      <c r="H493" s="13">
        <v>378</v>
      </c>
      <c r="I493" t="s">
        <v>77</v>
      </c>
    </row>
    <row r="494" spans="1:9" x14ac:dyDescent="0.3">
      <c r="A494">
        <v>5272</v>
      </c>
      <c r="B494" t="s">
        <v>449</v>
      </c>
      <c r="C494" t="s">
        <v>92</v>
      </c>
      <c r="D494" t="s">
        <v>64</v>
      </c>
      <c r="E494" t="s">
        <v>629</v>
      </c>
      <c r="F494" s="13">
        <v>2</v>
      </c>
      <c r="G494" s="14">
        <v>2591.8000000000002</v>
      </c>
      <c r="H494" s="13">
        <v>378</v>
      </c>
      <c r="I494" t="s">
        <v>77</v>
      </c>
    </row>
    <row r="495" spans="1:9" x14ac:dyDescent="0.3">
      <c r="A495">
        <v>6276</v>
      </c>
      <c r="B495" t="s">
        <v>630</v>
      </c>
      <c r="C495" t="s">
        <v>95</v>
      </c>
      <c r="D495" t="s">
        <v>65</v>
      </c>
      <c r="E495" t="s">
        <v>629</v>
      </c>
      <c r="F495" s="13">
        <v>1</v>
      </c>
      <c r="G495" s="14">
        <v>1211.2</v>
      </c>
      <c r="H495" s="13">
        <v>378</v>
      </c>
      <c r="I495" t="s">
        <v>77</v>
      </c>
    </row>
    <row r="496" spans="1:9" x14ac:dyDescent="0.3">
      <c r="A496">
        <v>7491</v>
      </c>
      <c r="B496" t="s">
        <v>109</v>
      </c>
      <c r="C496" t="s">
        <v>123</v>
      </c>
      <c r="D496" t="s">
        <v>65</v>
      </c>
      <c r="E496" t="s">
        <v>629</v>
      </c>
      <c r="F496" s="13">
        <v>1</v>
      </c>
      <c r="G496" s="14">
        <v>1337.53</v>
      </c>
      <c r="H496" s="13">
        <v>378</v>
      </c>
      <c r="I496" t="s">
        <v>77</v>
      </c>
    </row>
    <row r="497" spans="1:9" x14ac:dyDescent="0.3">
      <c r="A497">
        <v>8791</v>
      </c>
      <c r="B497" t="s">
        <v>631</v>
      </c>
      <c r="C497" t="s">
        <v>133</v>
      </c>
      <c r="D497" t="s">
        <v>64</v>
      </c>
      <c r="E497" t="s">
        <v>629</v>
      </c>
      <c r="F497" s="13">
        <v>1</v>
      </c>
      <c r="G497" s="14">
        <v>500.02</v>
      </c>
      <c r="H497" s="13">
        <v>378</v>
      </c>
      <c r="I497" t="s">
        <v>77</v>
      </c>
    </row>
    <row r="498" spans="1:9" x14ac:dyDescent="0.3">
      <c r="A498">
        <v>1172</v>
      </c>
      <c r="B498" t="s">
        <v>632</v>
      </c>
      <c r="C498" t="s">
        <v>133</v>
      </c>
      <c r="D498" t="s">
        <v>64</v>
      </c>
      <c r="E498" t="s">
        <v>633</v>
      </c>
      <c r="F498" s="13">
        <v>3</v>
      </c>
      <c r="G498" s="14">
        <v>16972.650000000001</v>
      </c>
      <c r="H498" s="13">
        <v>377</v>
      </c>
      <c r="I498" t="s">
        <v>77</v>
      </c>
    </row>
    <row r="499" spans="1:9" x14ac:dyDescent="0.3">
      <c r="A499">
        <v>3157</v>
      </c>
      <c r="B499" t="s">
        <v>634</v>
      </c>
      <c r="C499" t="s">
        <v>95</v>
      </c>
      <c r="D499" t="s">
        <v>65</v>
      </c>
      <c r="E499" t="s">
        <v>633</v>
      </c>
      <c r="F499" s="13">
        <v>1</v>
      </c>
      <c r="G499" s="14">
        <v>1234.75</v>
      </c>
      <c r="H499" s="13">
        <v>377</v>
      </c>
      <c r="I499" t="s">
        <v>77</v>
      </c>
    </row>
    <row r="500" spans="1:9" x14ac:dyDescent="0.3">
      <c r="A500">
        <v>4756</v>
      </c>
      <c r="B500" t="s">
        <v>635</v>
      </c>
      <c r="C500" t="s">
        <v>103</v>
      </c>
      <c r="D500" t="s">
        <v>67</v>
      </c>
      <c r="E500" t="s">
        <v>633</v>
      </c>
      <c r="F500" s="13">
        <v>2</v>
      </c>
      <c r="G500" s="14">
        <v>5351.67</v>
      </c>
      <c r="H500" s="13">
        <v>377</v>
      </c>
      <c r="I500" t="s">
        <v>77</v>
      </c>
    </row>
    <row r="501" spans="1:9" x14ac:dyDescent="0.3">
      <c r="A501">
        <v>7346</v>
      </c>
      <c r="B501" t="s">
        <v>540</v>
      </c>
      <c r="C501" t="s">
        <v>92</v>
      </c>
      <c r="D501" t="s">
        <v>64</v>
      </c>
      <c r="E501" t="s">
        <v>633</v>
      </c>
      <c r="F501" s="13">
        <v>2</v>
      </c>
      <c r="G501" s="14">
        <v>2387.29</v>
      </c>
      <c r="H501" s="13">
        <v>377</v>
      </c>
      <c r="I501" t="s">
        <v>77</v>
      </c>
    </row>
    <row r="502" spans="1:9" x14ac:dyDescent="0.3">
      <c r="A502">
        <v>7946</v>
      </c>
      <c r="B502" t="s">
        <v>636</v>
      </c>
      <c r="C502" t="s">
        <v>137</v>
      </c>
      <c r="D502" t="s">
        <v>64</v>
      </c>
      <c r="E502" t="s">
        <v>633</v>
      </c>
      <c r="F502" s="13">
        <v>2</v>
      </c>
      <c r="G502" s="14">
        <v>631.30999999999995</v>
      </c>
      <c r="H502" s="13">
        <v>377</v>
      </c>
      <c r="I502" t="s">
        <v>77</v>
      </c>
    </row>
    <row r="503" spans="1:9" x14ac:dyDescent="0.3">
      <c r="A503">
        <v>8221</v>
      </c>
      <c r="B503" t="s">
        <v>637</v>
      </c>
      <c r="C503" t="s">
        <v>92</v>
      </c>
      <c r="D503" t="s">
        <v>64</v>
      </c>
      <c r="E503" t="s">
        <v>633</v>
      </c>
      <c r="F503" s="13">
        <v>1</v>
      </c>
      <c r="G503" s="14">
        <v>9195.5</v>
      </c>
      <c r="H503" s="13">
        <v>377</v>
      </c>
      <c r="I503" t="s">
        <v>77</v>
      </c>
    </row>
    <row r="504" spans="1:9" x14ac:dyDescent="0.3">
      <c r="A504">
        <v>2072</v>
      </c>
      <c r="B504" t="s">
        <v>638</v>
      </c>
      <c r="C504" t="s">
        <v>92</v>
      </c>
      <c r="D504" t="s">
        <v>64</v>
      </c>
      <c r="E504" t="s">
        <v>639</v>
      </c>
      <c r="F504" s="13">
        <v>1</v>
      </c>
      <c r="G504" s="14">
        <v>3029.42</v>
      </c>
      <c r="H504" s="13">
        <v>376</v>
      </c>
      <c r="I504" t="s">
        <v>77</v>
      </c>
    </row>
    <row r="505" spans="1:9" x14ac:dyDescent="0.3">
      <c r="A505">
        <v>4919</v>
      </c>
      <c r="B505" t="s">
        <v>640</v>
      </c>
      <c r="C505" t="s">
        <v>87</v>
      </c>
      <c r="D505" t="s">
        <v>64</v>
      </c>
      <c r="E505" t="s">
        <v>639</v>
      </c>
      <c r="F505" s="13">
        <v>2</v>
      </c>
      <c r="G505" s="14">
        <v>2950.73</v>
      </c>
      <c r="H505" s="13">
        <v>376</v>
      </c>
      <c r="I505" t="s">
        <v>77</v>
      </c>
    </row>
    <row r="506" spans="1:9" x14ac:dyDescent="0.3">
      <c r="A506">
        <v>6456</v>
      </c>
      <c r="B506" t="s">
        <v>353</v>
      </c>
      <c r="C506" t="s">
        <v>92</v>
      </c>
      <c r="D506" t="s">
        <v>64</v>
      </c>
      <c r="E506" t="s">
        <v>639</v>
      </c>
      <c r="F506" s="13">
        <v>1</v>
      </c>
      <c r="G506" s="14">
        <v>175.8</v>
      </c>
      <c r="H506" s="13">
        <v>376</v>
      </c>
      <c r="I506" t="s">
        <v>77</v>
      </c>
    </row>
    <row r="507" spans="1:9" x14ac:dyDescent="0.3">
      <c r="A507">
        <v>8691</v>
      </c>
      <c r="B507" t="s">
        <v>641</v>
      </c>
      <c r="C507" t="s">
        <v>97</v>
      </c>
      <c r="D507" t="s">
        <v>65</v>
      </c>
      <c r="E507" t="s">
        <v>639</v>
      </c>
      <c r="F507" s="13">
        <v>2</v>
      </c>
      <c r="G507" s="14">
        <v>3667.71</v>
      </c>
      <c r="H507" s="13">
        <v>376</v>
      </c>
      <c r="I507" t="s">
        <v>77</v>
      </c>
    </row>
    <row r="508" spans="1:9" x14ac:dyDescent="0.3">
      <c r="A508">
        <v>199</v>
      </c>
      <c r="B508" t="s">
        <v>642</v>
      </c>
      <c r="C508" t="s">
        <v>121</v>
      </c>
      <c r="D508" t="s">
        <v>67</v>
      </c>
      <c r="E508" t="s">
        <v>643</v>
      </c>
      <c r="F508" s="13">
        <v>1</v>
      </c>
      <c r="G508" s="14">
        <v>316.89999999999998</v>
      </c>
      <c r="H508" s="13">
        <v>375</v>
      </c>
      <c r="I508" t="s">
        <v>77</v>
      </c>
    </row>
    <row r="509" spans="1:9" x14ac:dyDescent="0.3">
      <c r="A509">
        <v>597</v>
      </c>
      <c r="B509" t="s">
        <v>543</v>
      </c>
      <c r="C509" t="s">
        <v>92</v>
      </c>
      <c r="D509" t="s">
        <v>64</v>
      </c>
      <c r="E509" t="s">
        <v>643</v>
      </c>
      <c r="F509" s="13">
        <v>2</v>
      </c>
      <c r="G509" s="14">
        <v>4808.3599999999997</v>
      </c>
      <c r="H509" s="13">
        <v>375</v>
      </c>
      <c r="I509" t="s">
        <v>77</v>
      </c>
    </row>
    <row r="510" spans="1:9" x14ac:dyDescent="0.3">
      <c r="A510">
        <v>1489</v>
      </c>
      <c r="B510" t="s">
        <v>86</v>
      </c>
      <c r="C510" t="s">
        <v>92</v>
      </c>
      <c r="D510" t="s">
        <v>64</v>
      </c>
      <c r="E510" t="s">
        <v>643</v>
      </c>
      <c r="F510" s="13">
        <v>1</v>
      </c>
      <c r="G510" s="14">
        <v>90.1</v>
      </c>
      <c r="H510" s="13">
        <v>375</v>
      </c>
      <c r="I510" t="s">
        <v>77</v>
      </c>
    </row>
    <row r="511" spans="1:9" x14ac:dyDescent="0.3">
      <c r="A511">
        <v>2252</v>
      </c>
      <c r="B511" t="s">
        <v>644</v>
      </c>
      <c r="C511" t="s">
        <v>137</v>
      </c>
      <c r="D511" t="s">
        <v>64</v>
      </c>
      <c r="E511" t="s">
        <v>643</v>
      </c>
      <c r="F511" s="13">
        <v>1</v>
      </c>
      <c r="G511" s="14">
        <v>4610.21</v>
      </c>
      <c r="H511" s="13">
        <v>375</v>
      </c>
      <c r="I511" t="s">
        <v>77</v>
      </c>
    </row>
    <row r="512" spans="1:9" x14ac:dyDescent="0.3">
      <c r="A512">
        <v>4951</v>
      </c>
      <c r="B512" t="s">
        <v>645</v>
      </c>
      <c r="C512" t="s">
        <v>90</v>
      </c>
      <c r="D512" t="s">
        <v>66</v>
      </c>
      <c r="E512" t="s">
        <v>643</v>
      </c>
      <c r="F512" s="13">
        <v>1</v>
      </c>
      <c r="G512" s="14">
        <v>1185.5999999999999</v>
      </c>
      <c r="H512" s="13">
        <v>375</v>
      </c>
      <c r="I512" t="s">
        <v>77</v>
      </c>
    </row>
    <row r="513" spans="1:9" x14ac:dyDescent="0.3">
      <c r="A513">
        <v>6649</v>
      </c>
      <c r="B513" t="s">
        <v>646</v>
      </c>
      <c r="C513" t="s">
        <v>90</v>
      </c>
      <c r="D513" t="s">
        <v>66</v>
      </c>
      <c r="E513" t="s">
        <v>643</v>
      </c>
      <c r="F513" s="13">
        <v>2</v>
      </c>
      <c r="G513" s="14">
        <v>4824.26</v>
      </c>
      <c r="H513" s="13">
        <v>375</v>
      </c>
      <c r="I513" t="s">
        <v>77</v>
      </c>
    </row>
    <row r="514" spans="1:9" x14ac:dyDescent="0.3">
      <c r="A514">
        <v>6942</v>
      </c>
      <c r="B514" t="s">
        <v>94</v>
      </c>
      <c r="C514" t="s">
        <v>100</v>
      </c>
      <c r="D514" t="s">
        <v>66</v>
      </c>
      <c r="E514" t="s">
        <v>643</v>
      </c>
      <c r="F514" s="13">
        <v>2</v>
      </c>
      <c r="G514" s="14">
        <v>5186.24</v>
      </c>
      <c r="H514" s="13">
        <v>375</v>
      </c>
      <c r="I514" t="s">
        <v>77</v>
      </c>
    </row>
    <row r="515" spans="1:9" x14ac:dyDescent="0.3">
      <c r="A515">
        <v>7354</v>
      </c>
      <c r="B515" t="s">
        <v>460</v>
      </c>
      <c r="C515" t="s">
        <v>92</v>
      </c>
      <c r="D515" t="s">
        <v>64</v>
      </c>
      <c r="E515" t="s">
        <v>643</v>
      </c>
      <c r="F515" s="13">
        <v>2</v>
      </c>
      <c r="G515" s="14">
        <v>9505.76</v>
      </c>
      <c r="H515" s="13">
        <v>375</v>
      </c>
      <c r="I515" t="s">
        <v>77</v>
      </c>
    </row>
    <row r="516" spans="1:9" x14ac:dyDescent="0.3">
      <c r="A516">
        <v>2506</v>
      </c>
      <c r="B516" t="s">
        <v>540</v>
      </c>
      <c r="C516" t="s">
        <v>123</v>
      </c>
      <c r="D516" t="s">
        <v>65</v>
      </c>
      <c r="E516" t="s">
        <v>647</v>
      </c>
      <c r="F516" s="13">
        <v>1</v>
      </c>
      <c r="G516" s="14">
        <v>324.18</v>
      </c>
      <c r="H516" s="13">
        <v>374</v>
      </c>
      <c r="I516" t="s">
        <v>77</v>
      </c>
    </row>
    <row r="517" spans="1:9" x14ac:dyDescent="0.3">
      <c r="A517">
        <v>4387</v>
      </c>
      <c r="B517" t="s">
        <v>648</v>
      </c>
      <c r="C517" t="s">
        <v>156</v>
      </c>
      <c r="D517" t="s">
        <v>68</v>
      </c>
      <c r="E517" t="s">
        <v>647</v>
      </c>
      <c r="F517" s="13">
        <v>1</v>
      </c>
      <c r="G517" s="14">
        <v>5597.06</v>
      </c>
      <c r="H517" s="13">
        <v>374</v>
      </c>
      <c r="I517" t="s">
        <v>77</v>
      </c>
    </row>
    <row r="518" spans="1:9" x14ac:dyDescent="0.3">
      <c r="A518">
        <v>7924</v>
      </c>
      <c r="B518" t="s">
        <v>649</v>
      </c>
      <c r="C518" t="s">
        <v>249</v>
      </c>
      <c r="D518" t="s">
        <v>67</v>
      </c>
      <c r="E518" t="s">
        <v>647</v>
      </c>
      <c r="F518" s="13">
        <v>1</v>
      </c>
      <c r="G518" s="14">
        <v>49.73</v>
      </c>
      <c r="H518" s="13">
        <v>374</v>
      </c>
      <c r="I518" t="s">
        <v>77</v>
      </c>
    </row>
    <row r="519" spans="1:9" x14ac:dyDescent="0.3">
      <c r="A519">
        <v>8100</v>
      </c>
      <c r="B519" t="s">
        <v>415</v>
      </c>
      <c r="C519" t="s">
        <v>95</v>
      </c>
      <c r="D519" t="s">
        <v>65</v>
      </c>
      <c r="E519" t="s">
        <v>647</v>
      </c>
      <c r="F519" s="13">
        <v>1</v>
      </c>
      <c r="G519" s="14">
        <v>260.19</v>
      </c>
      <c r="H519" s="13">
        <v>374</v>
      </c>
      <c r="I519" t="s">
        <v>77</v>
      </c>
    </row>
    <row r="520" spans="1:9" x14ac:dyDescent="0.3">
      <c r="A520">
        <v>3261</v>
      </c>
      <c r="B520" t="s">
        <v>120</v>
      </c>
      <c r="C520" t="s">
        <v>123</v>
      </c>
      <c r="D520" t="s">
        <v>65</v>
      </c>
      <c r="E520" t="s">
        <v>650</v>
      </c>
      <c r="F520" s="13">
        <v>1</v>
      </c>
      <c r="G520" s="14">
        <v>6530.78</v>
      </c>
      <c r="H520" s="13">
        <v>373</v>
      </c>
      <c r="I520" t="s">
        <v>77</v>
      </c>
    </row>
    <row r="521" spans="1:9" x14ac:dyDescent="0.3">
      <c r="A521">
        <v>3403</v>
      </c>
      <c r="B521" t="s">
        <v>651</v>
      </c>
      <c r="C521" t="s">
        <v>97</v>
      </c>
      <c r="D521" t="s">
        <v>65</v>
      </c>
      <c r="E521" t="s">
        <v>650</v>
      </c>
      <c r="F521" s="13">
        <v>1</v>
      </c>
      <c r="G521" s="14">
        <v>6519.3</v>
      </c>
      <c r="H521" s="13">
        <v>373</v>
      </c>
      <c r="I521" t="s">
        <v>77</v>
      </c>
    </row>
    <row r="522" spans="1:9" x14ac:dyDescent="0.3">
      <c r="A522">
        <v>4167</v>
      </c>
      <c r="B522" t="s">
        <v>652</v>
      </c>
      <c r="C522" t="s">
        <v>137</v>
      </c>
      <c r="D522" t="s">
        <v>64</v>
      </c>
      <c r="E522" t="s">
        <v>650</v>
      </c>
      <c r="F522" s="13">
        <v>1</v>
      </c>
      <c r="G522" s="14">
        <v>87.31</v>
      </c>
      <c r="H522" s="13">
        <v>373</v>
      </c>
      <c r="I522" t="s">
        <v>77</v>
      </c>
    </row>
    <row r="523" spans="1:9" x14ac:dyDescent="0.3">
      <c r="A523">
        <v>5806</v>
      </c>
      <c r="B523" t="s">
        <v>178</v>
      </c>
      <c r="C523" t="s">
        <v>137</v>
      </c>
      <c r="D523" t="s">
        <v>64</v>
      </c>
      <c r="E523" t="s">
        <v>650</v>
      </c>
      <c r="F523" s="13">
        <v>1</v>
      </c>
      <c r="G523" s="14">
        <v>1816.96</v>
      </c>
      <c r="H523" s="13">
        <v>373</v>
      </c>
      <c r="I523" t="s">
        <v>77</v>
      </c>
    </row>
    <row r="524" spans="1:9" x14ac:dyDescent="0.3">
      <c r="A524">
        <v>6845</v>
      </c>
      <c r="B524" t="s">
        <v>653</v>
      </c>
      <c r="C524" t="s">
        <v>90</v>
      </c>
      <c r="D524" t="s">
        <v>66</v>
      </c>
      <c r="E524" t="s">
        <v>650</v>
      </c>
      <c r="F524" s="13">
        <v>2</v>
      </c>
      <c r="G524" s="14">
        <v>165.93</v>
      </c>
      <c r="H524" s="13">
        <v>373</v>
      </c>
      <c r="I524" t="s">
        <v>77</v>
      </c>
    </row>
    <row r="525" spans="1:9" x14ac:dyDescent="0.3">
      <c r="A525">
        <v>7486</v>
      </c>
      <c r="B525" t="s">
        <v>654</v>
      </c>
      <c r="C525" t="s">
        <v>92</v>
      </c>
      <c r="D525" t="s">
        <v>64</v>
      </c>
      <c r="E525" t="s">
        <v>650</v>
      </c>
      <c r="F525" s="13">
        <v>1</v>
      </c>
      <c r="G525" s="14">
        <v>858.18</v>
      </c>
      <c r="H525" s="13">
        <v>373</v>
      </c>
      <c r="I525" t="s">
        <v>77</v>
      </c>
    </row>
    <row r="526" spans="1:9" x14ac:dyDescent="0.3">
      <c r="A526">
        <v>7498</v>
      </c>
      <c r="B526" t="s">
        <v>414</v>
      </c>
      <c r="C526" t="s">
        <v>133</v>
      </c>
      <c r="D526" t="s">
        <v>64</v>
      </c>
      <c r="E526" t="s">
        <v>650</v>
      </c>
      <c r="F526" s="13">
        <v>1</v>
      </c>
      <c r="G526" s="14">
        <v>2618.08</v>
      </c>
      <c r="H526" s="13">
        <v>373</v>
      </c>
      <c r="I526" t="s">
        <v>77</v>
      </c>
    </row>
    <row r="527" spans="1:9" x14ac:dyDescent="0.3">
      <c r="A527">
        <v>849</v>
      </c>
      <c r="B527" t="s">
        <v>655</v>
      </c>
      <c r="C527" t="s">
        <v>100</v>
      </c>
      <c r="D527" t="s">
        <v>66</v>
      </c>
      <c r="E527" t="s">
        <v>656</v>
      </c>
      <c r="F527" s="13">
        <v>2</v>
      </c>
      <c r="G527" s="14">
        <v>2193.42</v>
      </c>
      <c r="H527" s="13">
        <v>372</v>
      </c>
      <c r="I527" t="s">
        <v>77</v>
      </c>
    </row>
    <row r="528" spans="1:9" x14ac:dyDescent="0.3">
      <c r="A528">
        <v>3260</v>
      </c>
      <c r="B528" t="s">
        <v>438</v>
      </c>
      <c r="C528" t="s">
        <v>137</v>
      </c>
      <c r="D528" t="s">
        <v>64</v>
      </c>
      <c r="E528" t="s">
        <v>656</v>
      </c>
      <c r="F528" s="13">
        <v>1</v>
      </c>
      <c r="G528" s="14">
        <v>260.08</v>
      </c>
      <c r="H528" s="13">
        <v>372</v>
      </c>
      <c r="I528" t="s">
        <v>77</v>
      </c>
    </row>
    <row r="529" spans="1:9" x14ac:dyDescent="0.3">
      <c r="A529">
        <v>3286</v>
      </c>
      <c r="B529" t="s">
        <v>636</v>
      </c>
      <c r="C529" t="s">
        <v>92</v>
      </c>
      <c r="D529" t="s">
        <v>64</v>
      </c>
      <c r="E529" t="s">
        <v>656</v>
      </c>
      <c r="F529" s="13">
        <v>1</v>
      </c>
      <c r="G529" s="14">
        <v>2036.23</v>
      </c>
      <c r="H529" s="13">
        <v>372</v>
      </c>
      <c r="I529" t="s">
        <v>77</v>
      </c>
    </row>
    <row r="530" spans="1:9" x14ac:dyDescent="0.3">
      <c r="A530">
        <v>4275</v>
      </c>
      <c r="B530" t="s">
        <v>519</v>
      </c>
      <c r="C530" t="s">
        <v>92</v>
      </c>
      <c r="D530" t="s">
        <v>64</v>
      </c>
      <c r="E530" t="s">
        <v>656</v>
      </c>
      <c r="F530" s="13">
        <v>2</v>
      </c>
      <c r="G530" s="14">
        <v>2167.15</v>
      </c>
      <c r="H530" s="13">
        <v>372</v>
      </c>
      <c r="I530" t="s">
        <v>77</v>
      </c>
    </row>
    <row r="531" spans="1:9" x14ac:dyDescent="0.3">
      <c r="A531">
        <v>5302</v>
      </c>
      <c r="B531" t="s">
        <v>657</v>
      </c>
      <c r="C531" t="s">
        <v>137</v>
      </c>
      <c r="D531" t="s">
        <v>64</v>
      </c>
      <c r="E531" t="s">
        <v>656</v>
      </c>
      <c r="F531" s="13">
        <v>1</v>
      </c>
      <c r="G531" s="14">
        <v>992.55</v>
      </c>
      <c r="H531" s="13">
        <v>372</v>
      </c>
      <c r="I531" t="s">
        <v>77</v>
      </c>
    </row>
    <row r="532" spans="1:9" x14ac:dyDescent="0.3">
      <c r="A532">
        <v>8480</v>
      </c>
      <c r="B532" t="s">
        <v>658</v>
      </c>
      <c r="C532" t="s">
        <v>92</v>
      </c>
      <c r="D532" t="s">
        <v>64</v>
      </c>
      <c r="E532" t="s">
        <v>656</v>
      </c>
      <c r="F532" s="13">
        <v>2</v>
      </c>
      <c r="G532" s="14">
        <v>3631.86</v>
      </c>
      <c r="H532" s="13">
        <v>372</v>
      </c>
      <c r="I532" t="s">
        <v>77</v>
      </c>
    </row>
    <row r="533" spans="1:9" x14ac:dyDescent="0.3">
      <c r="A533">
        <v>671</v>
      </c>
      <c r="B533" t="s">
        <v>302</v>
      </c>
      <c r="C533" t="s">
        <v>133</v>
      </c>
      <c r="D533" t="s">
        <v>64</v>
      </c>
      <c r="E533" t="s">
        <v>659</v>
      </c>
      <c r="F533" s="13">
        <v>3</v>
      </c>
      <c r="G533" s="14">
        <v>8609.17</v>
      </c>
      <c r="H533" s="13">
        <v>371</v>
      </c>
      <c r="I533" t="s">
        <v>77</v>
      </c>
    </row>
    <row r="534" spans="1:9" x14ac:dyDescent="0.3">
      <c r="A534">
        <v>4028</v>
      </c>
      <c r="B534" t="s">
        <v>440</v>
      </c>
      <c r="C534" t="s">
        <v>95</v>
      </c>
      <c r="D534" t="s">
        <v>65</v>
      </c>
      <c r="E534" t="s">
        <v>659</v>
      </c>
      <c r="F534" s="13">
        <v>1</v>
      </c>
      <c r="G534" s="14">
        <v>3380.15</v>
      </c>
      <c r="H534" s="13">
        <v>371</v>
      </c>
      <c r="I534" t="s">
        <v>77</v>
      </c>
    </row>
    <row r="535" spans="1:9" x14ac:dyDescent="0.3">
      <c r="A535">
        <v>4551</v>
      </c>
      <c r="B535" t="s">
        <v>660</v>
      </c>
      <c r="C535" t="s">
        <v>156</v>
      </c>
      <c r="D535" t="s">
        <v>68</v>
      </c>
      <c r="E535" t="s">
        <v>659</v>
      </c>
      <c r="F535" s="13">
        <v>2</v>
      </c>
      <c r="G535" s="14">
        <v>1656.94</v>
      </c>
      <c r="H535" s="13">
        <v>371</v>
      </c>
      <c r="I535" t="s">
        <v>77</v>
      </c>
    </row>
    <row r="536" spans="1:9" x14ac:dyDescent="0.3">
      <c r="A536">
        <v>4983</v>
      </c>
      <c r="B536" t="s">
        <v>661</v>
      </c>
      <c r="C536" t="s">
        <v>137</v>
      </c>
      <c r="D536" t="s">
        <v>64</v>
      </c>
      <c r="E536" t="s">
        <v>659</v>
      </c>
      <c r="F536" s="13">
        <v>1</v>
      </c>
      <c r="G536" s="14">
        <v>4019.84</v>
      </c>
      <c r="H536" s="13">
        <v>371</v>
      </c>
      <c r="I536" t="s">
        <v>77</v>
      </c>
    </row>
    <row r="537" spans="1:9" x14ac:dyDescent="0.3">
      <c r="A537">
        <v>5572</v>
      </c>
      <c r="B537" t="s">
        <v>662</v>
      </c>
      <c r="C537" t="s">
        <v>90</v>
      </c>
      <c r="D537" t="s">
        <v>66</v>
      </c>
      <c r="E537" t="s">
        <v>659</v>
      </c>
      <c r="F537" s="13">
        <v>2</v>
      </c>
      <c r="G537" s="14">
        <v>659.59</v>
      </c>
      <c r="H537" s="13">
        <v>371</v>
      </c>
      <c r="I537" t="s">
        <v>77</v>
      </c>
    </row>
    <row r="538" spans="1:9" x14ac:dyDescent="0.3">
      <c r="A538">
        <v>5792</v>
      </c>
      <c r="B538" t="s">
        <v>663</v>
      </c>
      <c r="C538" t="s">
        <v>92</v>
      </c>
      <c r="D538" t="s">
        <v>64</v>
      </c>
      <c r="E538" t="s">
        <v>659</v>
      </c>
      <c r="F538" s="13">
        <v>1</v>
      </c>
      <c r="G538" s="14">
        <v>3757.35</v>
      </c>
      <c r="H538" s="13">
        <v>371</v>
      </c>
      <c r="I538" t="s">
        <v>77</v>
      </c>
    </row>
    <row r="539" spans="1:9" x14ac:dyDescent="0.3">
      <c r="A539">
        <v>5903</v>
      </c>
      <c r="B539" t="s">
        <v>171</v>
      </c>
      <c r="C539" t="s">
        <v>123</v>
      </c>
      <c r="D539" t="s">
        <v>65</v>
      </c>
      <c r="E539" t="s">
        <v>659</v>
      </c>
      <c r="F539" s="13">
        <v>1</v>
      </c>
      <c r="G539" s="14">
        <v>42.48</v>
      </c>
      <c r="H539" s="13">
        <v>371</v>
      </c>
      <c r="I539" t="s">
        <v>77</v>
      </c>
    </row>
    <row r="540" spans="1:9" x14ac:dyDescent="0.3">
      <c r="A540">
        <v>7365</v>
      </c>
      <c r="B540" t="s">
        <v>423</v>
      </c>
      <c r="C540" t="s">
        <v>133</v>
      </c>
      <c r="D540" t="s">
        <v>64</v>
      </c>
      <c r="E540" t="s">
        <v>659</v>
      </c>
      <c r="F540" s="13">
        <v>2</v>
      </c>
      <c r="G540" s="14">
        <v>4288.51</v>
      </c>
      <c r="H540" s="13">
        <v>371</v>
      </c>
      <c r="I540" t="s">
        <v>77</v>
      </c>
    </row>
    <row r="541" spans="1:9" x14ac:dyDescent="0.3">
      <c r="A541">
        <v>861</v>
      </c>
      <c r="B541" t="s">
        <v>297</v>
      </c>
      <c r="C541" t="s">
        <v>95</v>
      </c>
      <c r="D541" t="s">
        <v>65</v>
      </c>
      <c r="E541" t="s">
        <v>664</v>
      </c>
      <c r="F541" s="13">
        <v>3</v>
      </c>
      <c r="G541" s="14">
        <v>9589.1</v>
      </c>
      <c r="H541" s="13">
        <v>370</v>
      </c>
      <c r="I541" t="s">
        <v>77</v>
      </c>
    </row>
    <row r="542" spans="1:9" x14ac:dyDescent="0.3">
      <c r="A542">
        <v>1752</v>
      </c>
      <c r="B542" t="s">
        <v>135</v>
      </c>
      <c r="C542" t="s">
        <v>137</v>
      </c>
      <c r="D542" t="s">
        <v>64</v>
      </c>
      <c r="E542" t="s">
        <v>664</v>
      </c>
      <c r="F542" s="13">
        <v>1</v>
      </c>
      <c r="G542" s="14">
        <v>840.95</v>
      </c>
      <c r="H542" s="13">
        <v>370</v>
      </c>
      <c r="I542" t="s">
        <v>77</v>
      </c>
    </row>
    <row r="543" spans="1:9" x14ac:dyDescent="0.3">
      <c r="A543">
        <v>2899</v>
      </c>
      <c r="B543" t="s">
        <v>540</v>
      </c>
      <c r="C543" t="s">
        <v>133</v>
      </c>
      <c r="D543" t="s">
        <v>64</v>
      </c>
      <c r="E543" t="s">
        <v>664</v>
      </c>
      <c r="F543" s="13">
        <v>2</v>
      </c>
      <c r="G543" s="14">
        <v>472.39</v>
      </c>
      <c r="H543" s="13">
        <v>370</v>
      </c>
      <c r="I543" t="s">
        <v>77</v>
      </c>
    </row>
    <row r="544" spans="1:9" x14ac:dyDescent="0.3">
      <c r="A544">
        <v>6563</v>
      </c>
      <c r="B544" t="s">
        <v>665</v>
      </c>
      <c r="C544" t="s">
        <v>90</v>
      </c>
      <c r="D544" t="s">
        <v>66</v>
      </c>
      <c r="E544" t="s">
        <v>664</v>
      </c>
      <c r="F544" s="13">
        <v>2</v>
      </c>
      <c r="G544" s="14">
        <v>890.86</v>
      </c>
      <c r="H544" s="13">
        <v>370</v>
      </c>
      <c r="I544" t="s">
        <v>77</v>
      </c>
    </row>
    <row r="545" spans="1:9" x14ac:dyDescent="0.3">
      <c r="A545">
        <v>6794</v>
      </c>
      <c r="B545" t="s">
        <v>199</v>
      </c>
      <c r="C545" t="s">
        <v>87</v>
      </c>
      <c r="D545" t="s">
        <v>64</v>
      </c>
      <c r="E545" t="s">
        <v>664</v>
      </c>
      <c r="F545" s="13">
        <v>1</v>
      </c>
      <c r="G545" s="14">
        <v>2314.4699999999998</v>
      </c>
      <c r="H545" s="13">
        <v>370</v>
      </c>
      <c r="I545" t="s">
        <v>77</v>
      </c>
    </row>
    <row r="546" spans="1:9" x14ac:dyDescent="0.3">
      <c r="A546">
        <v>1180</v>
      </c>
      <c r="B546" t="s">
        <v>201</v>
      </c>
      <c r="C546" t="s">
        <v>114</v>
      </c>
      <c r="D546" t="s">
        <v>66</v>
      </c>
      <c r="E546" t="s">
        <v>666</v>
      </c>
      <c r="F546" s="13">
        <v>1</v>
      </c>
      <c r="G546" s="14">
        <v>3467.88</v>
      </c>
      <c r="H546" s="13">
        <v>369</v>
      </c>
      <c r="I546" t="s">
        <v>77</v>
      </c>
    </row>
    <row r="547" spans="1:9" x14ac:dyDescent="0.3">
      <c r="A547">
        <v>2968</v>
      </c>
      <c r="B547" t="s">
        <v>667</v>
      </c>
      <c r="C547" t="s">
        <v>92</v>
      </c>
      <c r="D547" t="s">
        <v>64</v>
      </c>
      <c r="E547" t="s">
        <v>666</v>
      </c>
      <c r="F547" s="13">
        <v>2</v>
      </c>
      <c r="G547" s="14">
        <v>2982.41</v>
      </c>
      <c r="H547" s="13">
        <v>369</v>
      </c>
      <c r="I547" t="s">
        <v>77</v>
      </c>
    </row>
    <row r="548" spans="1:9" x14ac:dyDescent="0.3">
      <c r="A548">
        <v>3472</v>
      </c>
      <c r="B548" t="s">
        <v>414</v>
      </c>
      <c r="C548" t="s">
        <v>133</v>
      </c>
      <c r="D548" t="s">
        <v>64</v>
      </c>
      <c r="E548" t="s">
        <v>666</v>
      </c>
      <c r="F548" s="13">
        <v>2</v>
      </c>
      <c r="G548" s="14">
        <v>7772.28</v>
      </c>
      <c r="H548" s="13">
        <v>369</v>
      </c>
      <c r="I548" t="s">
        <v>77</v>
      </c>
    </row>
    <row r="549" spans="1:9" x14ac:dyDescent="0.3">
      <c r="A549">
        <v>6139</v>
      </c>
      <c r="B549" t="s">
        <v>151</v>
      </c>
      <c r="C549" t="s">
        <v>90</v>
      </c>
      <c r="D549" t="s">
        <v>66</v>
      </c>
      <c r="E549" t="s">
        <v>666</v>
      </c>
      <c r="F549" s="13">
        <v>1</v>
      </c>
      <c r="G549" s="14">
        <v>324.72000000000003</v>
      </c>
      <c r="H549" s="13">
        <v>369</v>
      </c>
      <c r="I549" t="s">
        <v>77</v>
      </c>
    </row>
    <row r="550" spans="1:9" x14ac:dyDescent="0.3">
      <c r="A550">
        <v>6478</v>
      </c>
      <c r="B550" t="s">
        <v>668</v>
      </c>
      <c r="C550" t="s">
        <v>92</v>
      </c>
      <c r="D550" t="s">
        <v>64</v>
      </c>
      <c r="E550" t="s">
        <v>666</v>
      </c>
      <c r="F550" s="13">
        <v>1</v>
      </c>
      <c r="G550" s="14">
        <v>1043.0999999999999</v>
      </c>
      <c r="H550" s="13">
        <v>369</v>
      </c>
      <c r="I550" t="s">
        <v>77</v>
      </c>
    </row>
    <row r="551" spans="1:9" x14ac:dyDescent="0.3">
      <c r="A551">
        <v>7296</v>
      </c>
      <c r="B551" t="s">
        <v>669</v>
      </c>
      <c r="C551" t="s">
        <v>137</v>
      </c>
      <c r="D551" t="s">
        <v>64</v>
      </c>
      <c r="E551" t="s">
        <v>666</v>
      </c>
      <c r="F551" s="13">
        <v>1</v>
      </c>
      <c r="G551" s="14">
        <v>663.9</v>
      </c>
      <c r="H551" s="13">
        <v>369</v>
      </c>
      <c r="I551" t="s">
        <v>77</v>
      </c>
    </row>
    <row r="552" spans="1:9" x14ac:dyDescent="0.3">
      <c r="A552">
        <v>7342</v>
      </c>
      <c r="B552" t="s">
        <v>113</v>
      </c>
      <c r="C552" t="s">
        <v>97</v>
      </c>
      <c r="D552" t="s">
        <v>65</v>
      </c>
      <c r="E552" t="s">
        <v>666</v>
      </c>
      <c r="F552" s="13">
        <v>1</v>
      </c>
      <c r="G552" s="14">
        <v>203.85</v>
      </c>
      <c r="H552" s="13">
        <v>369</v>
      </c>
      <c r="I552" t="s">
        <v>77</v>
      </c>
    </row>
    <row r="553" spans="1:9" x14ac:dyDescent="0.3">
      <c r="A553">
        <v>258</v>
      </c>
      <c r="B553" t="s">
        <v>302</v>
      </c>
      <c r="C553" t="s">
        <v>114</v>
      </c>
      <c r="D553" t="s">
        <v>66</v>
      </c>
      <c r="E553" t="s">
        <v>670</v>
      </c>
      <c r="F553" s="13">
        <v>2</v>
      </c>
      <c r="G553" s="14">
        <v>6828.31</v>
      </c>
      <c r="H553" s="13">
        <v>368</v>
      </c>
      <c r="I553" t="s">
        <v>77</v>
      </c>
    </row>
    <row r="554" spans="1:9" x14ac:dyDescent="0.3">
      <c r="A554">
        <v>1891</v>
      </c>
      <c r="B554" t="s">
        <v>671</v>
      </c>
      <c r="C554" t="s">
        <v>249</v>
      </c>
      <c r="D554" t="s">
        <v>67</v>
      </c>
      <c r="E554" t="s">
        <v>670</v>
      </c>
      <c r="F554" s="13">
        <v>3</v>
      </c>
      <c r="G554" s="14">
        <v>7752.31</v>
      </c>
      <c r="H554" s="13">
        <v>368</v>
      </c>
      <c r="I554" t="s">
        <v>77</v>
      </c>
    </row>
    <row r="555" spans="1:9" x14ac:dyDescent="0.3">
      <c r="A555">
        <v>1964</v>
      </c>
      <c r="B555" t="s">
        <v>672</v>
      </c>
      <c r="C555" t="s">
        <v>87</v>
      </c>
      <c r="D555" t="s">
        <v>64</v>
      </c>
      <c r="E555" t="s">
        <v>670</v>
      </c>
      <c r="F555" s="13">
        <v>1</v>
      </c>
      <c r="G555" s="14">
        <v>775.72</v>
      </c>
      <c r="H555" s="13">
        <v>368</v>
      </c>
      <c r="I555" t="s">
        <v>77</v>
      </c>
    </row>
    <row r="556" spans="1:9" x14ac:dyDescent="0.3">
      <c r="A556">
        <v>6922</v>
      </c>
      <c r="B556" t="s">
        <v>519</v>
      </c>
      <c r="C556" t="s">
        <v>97</v>
      </c>
      <c r="D556" t="s">
        <v>65</v>
      </c>
      <c r="E556" t="s">
        <v>670</v>
      </c>
      <c r="F556" s="13">
        <v>2</v>
      </c>
      <c r="G556" s="14">
        <v>535.29</v>
      </c>
      <c r="H556" s="13">
        <v>368</v>
      </c>
      <c r="I556" t="s">
        <v>77</v>
      </c>
    </row>
    <row r="557" spans="1:9" x14ac:dyDescent="0.3">
      <c r="A557">
        <v>8216</v>
      </c>
      <c r="B557" t="s">
        <v>175</v>
      </c>
      <c r="C557" t="s">
        <v>137</v>
      </c>
      <c r="D557" t="s">
        <v>64</v>
      </c>
      <c r="E557" t="s">
        <v>670</v>
      </c>
      <c r="F557" s="13">
        <v>2</v>
      </c>
      <c r="G557" s="14">
        <v>863.35</v>
      </c>
      <c r="H557" s="13">
        <v>368</v>
      </c>
      <c r="I557" t="s">
        <v>77</v>
      </c>
    </row>
    <row r="558" spans="1:9" x14ac:dyDescent="0.3">
      <c r="A558">
        <v>2864</v>
      </c>
      <c r="B558" t="s">
        <v>673</v>
      </c>
      <c r="C558" t="s">
        <v>92</v>
      </c>
      <c r="D558" t="s">
        <v>64</v>
      </c>
      <c r="E558" t="s">
        <v>674</v>
      </c>
      <c r="F558" s="13">
        <v>2</v>
      </c>
      <c r="G558" s="14">
        <v>1761.3</v>
      </c>
      <c r="H558" s="13">
        <v>367</v>
      </c>
      <c r="I558" t="s">
        <v>77</v>
      </c>
    </row>
    <row r="559" spans="1:9" x14ac:dyDescent="0.3">
      <c r="A559">
        <v>3194</v>
      </c>
      <c r="B559" t="s">
        <v>675</v>
      </c>
      <c r="C559" t="s">
        <v>100</v>
      </c>
      <c r="D559" t="s">
        <v>66</v>
      </c>
      <c r="E559" t="s">
        <v>674</v>
      </c>
      <c r="F559" s="13">
        <v>1</v>
      </c>
      <c r="G559" s="14">
        <v>333.03</v>
      </c>
      <c r="H559" s="13">
        <v>367</v>
      </c>
      <c r="I559" t="s">
        <v>77</v>
      </c>
    </row>
    <row r="560" spans="1:9" x14ac:dyDescent="0.3">
      <c r="A560">
        <v>7024</v>
      </c>
      <c r="B560" t="s">
        <v>676</v>
      </c>
      <c r="C560" t="s">
        <v>100</v>
      </c>
      <c r="D560" t="s">
        <v>66</v>
      </c>
      <c r="E560" t="s">
        <v>674</v>
      </c>
      <c r="F560" s="13">
        <v>1</v>
      </c>
      <c r="G560" s="14">
        <v>157.72</v>
      </c>
      <c r="H560" s="13">
        <v>367</v>
      </c>
      <c r="I560" t="s">
        <v>77</v>
      </c>
    </row>
    <row r="561" spans="1:9" x14ac:dyDescent="0.3">
      <c r="A561">
        <v>7656</v>
      </c>
      <c r="B561" t="s">
        <v>677</v>
      </c>
      <c r="C561" t="s">
        <v>95</v>
      </c>
      <c r="D561" t="s">
        <v>65</v>
      </c>
      <c r="E561" t="s">
        <v>674</v>
      </c>
      <c r="F561" s="13">
        <v>1</v>
      </c>
      <c r="G561" s="14">
        <v>925.47</v>
      </c>
      <c r="H561" s="13">
        <v>367</v>
      </c>
      <c r="I561" t="s">
        <v>77</v>
      </c>
    </row>
    <row r="562" spans="1:9" x14ac:dyDescent="0.3">
      <c r="A562">
        <v>296</v>
      </c>
      <c r="B562" t="s">
        <v>113</v>
      </c>
      <c r="C562" t="s">
        <v>92</v>
      </c>
      <c r="D562" t="s">
        <v>64</v>
      </c>
      <c r="E562" t="s">
        <v>678</v>
      </c>
      <c r="F562" s="13">
        <v>7</v>
      </c>
      <c r="G562" s="14">
        <v>11478.66</v>
      </c>
      <c r="H562" s="13">
        <v>366</v>
      </c>
      <c r="I562" t="s">
        <v>77</v>
      </c>
    </row>
    <row r="563" spans="1:9" x14ac:dyDescent="0.3">
      <c r="A563">
        <v>5092</v>
      </c>
      <c r="B563" t="s">
        <v>231</v>
      </c>
      <c r="C563" t="s">
        <v>137</v>
      </c>
      <c r="D563" t="s">
        <v>64</v>
      </c>
      <c r="E563" t="s">
        <v>678</v>
      </c>
      <c r="F563" s="13">
        <v>2</v>
      </c>
      <c r="G563" s="14">
        <v>4808.08</v>
      </c>
      <c r="H563" s="13">
        <v>366</v>
      </c>
      <c r="I563" t="s">
        <v>77</v>
      </c>
    </row>
    <row r="564" spans="1:9" x14ac:dyDescent="0.3">
      <c r="A564">
        <v>1233</v>
      </c>
      <c r="B564" t="s">
        <v>99</v>
      </c>
      <c r="C564" t="s">
        <v>123</v>
      </c>
      <c r="D564" t="s">
        <v>65</v>
      </c>
      <c r="E564" t="s">
        <v>679</v>
      </c>
      <c r="F564" s="13">
        <v>1</v>
      </c>
      <c r="G564" s="14">
        <v>2073.7600000000002</v>
      </c>
      <c r="H564" s="13">
        <v>365</v>
      </c>
      <c r="I564" t="s">
        <v>77</v>
      </c>
    </row>
    <row r="565" spans="1:9" x14ac:dyDescent="0.3">
      <c r="A565">
        <v>1277</v>
      </c>
      <c r="B565" t="s">
        <v>680</v>
      </c>
      <c r="C565" t="s">
        <v>133</v>
      </c>
      <c r="D565" t="s">
        <v>64</v>
      </c>
      <c r="E565" t="s">
        <v>679</v>
      </c>
      <c r="F565" s="13">
        <v>1</v>
      </c>
      <c r="G565" s="14">
        <v>1012.93</v>
      </c>
      <c r="H565" s="13">
        <v>365</v>
      </c>
      <c r="I565" t="s">
        <v>77</v>
      </c>
    </row>
    <row r="566" spans="1:9" x14ac:dyDescent="0.3">
      <c r="A566">
        <v>2431</v>
      </c>
      <c r="B566" t="s">
        <v>182</v>
      </c>
      <c r="C566" t="s">
        <v>100</v>
      </c>
      <c r="D566" t="s">
        <v>66</v>
      </c>
      <c r="E566" t="s">
        <v>679</v>
      </c>
      <c r="F566" s="13">
        <v>1</v>
      </c>
      <c r="G566" s="14">
        <v>1610.19</v>
      </c>
      <c r="H566" s="13">
        <v>365</v>
      </c>
      <c r="I566" t="s">
        <v>77</v>
      </c>
    </row>
    <row r="567" spans="1:9" x14ac:dyDescent="0.3">
      <c r="A567">
        <v>5173</v>
      </c>
      <c r="B567" t="s">
        <v>681</v>
      </c>
      <c r="C567" t="s">
        <v>95</v>
      </c>
      <c r="D567" t="s">
        <v>65</v>
      </c>
      <c r="E567" t="s">
        <v>679</v>
      </c>
      <c r="F567" s="13">
        <v>1</v>
      </c>
      <c r="G567" s="14">
        <v>562.5</v>
      </c>
      <c r="H567" s="13">
        <v>365</v>
      </c>
      <c r="I567" t="s">
        <v>77</v>
      </c>
    </row>
    <row r="568" spans="1:9" x14ac:dyDescent="0.3">
      <c r="A568">
        <v>5901</v>
      </c>
      <c r="B568" t="s">
        <v>204</v>
      </c>
      <c r="C568" t="s">
        <v>97</v>
      </c>
      <c r="D568" t="s">
        <v>65</v>
      </c>
      <c r="E568" t="s">
        <v>679</v>
      </c>
      <c r="F568" s="13">
        <v>1</v>
      </c>
      <c r="G568" s="14">
        <v>5234.13</v>
      </c>
      <c r="H568" s="13">
        <v>365</v>
      </c>
      <c r="I568" t="s">
        <v>77</v>
      </c>
    </row>
    <row r="569" spans="1:9" x14ac:dyDescent="0.3">
      <c r="A569">
        <v>6890</v>
      </c>
      <c r="B569" t="s">
        <v>682</v>
      </c>
      <c r="C569" t="s">
        <v>123</v>
      </c>
      <c r="D569" t="s">
        <v>65</v>
      </c>
      <c r="E569" t="s">
        <v>679</v>
      </c>
      <c r="F569" s="13">
        <v>3</v>
      </c>
      <c r="G569" s="14">
        <v>6112.45</v>
      </c>
      <c r="H569" s="13">
        <v>365</v>
      </c>
      <c r="I569" t="s">
        <v>77</v>
      </c>
    </row>
    <row r="570" spans="1:9" x14ac:dyDescent="0.3">
      <c r="A570">
        <v>6907</v>
      </c>
      <c r="B570" t="s">
        <v>280</v>
      </c>
      <c r="C570" t="s">
        <v>137</v>
      </c>
      <c r="D570" t="s">
        <v>64</v>
      </c>
      <c r="E570" t="s">
        <v>679</v>
      </c>
      <c r="F570" s="13">
        <v>1</v>
      </c>
      <c r="G570" s="14">
        <v>826.55</v>
      </c>
      <c r="H570" s="13">
        <v>365</v>
      </c>
      <c r="I570" t="s">
        <v>77</v>
      </c>
    </row>
    <row r="571" spans="1:9" x14ac:dyDescent="0.3">
      <c r="A571">
        <v>2947</v>
      </c>
      <c r="B571" t="s">
        <v>683</v>
      </c>
      <c r="C571" t="s">
        <v>137</v>
      </c>
      <c r="D571" t="s">
        <v>64</v>
      </c>
      <c r="E571" t="s">
        <v>684</v>
      </c>
      <c r="F571" s="13">
        <v>2</v>
      </c>
      <c r="G571" s="14">
        <v>4224.4799999999996</v>
      </c>
      <c r="H571" s="13">
        <v>364</v>
      </c>
      <c r="I571" t="s">
        <v>77</v>
      </c>
    </row>
    <row r="572" spans="1:9" x14ac:dyDescent="0.3">
      <c r="A572">
        <v>6864</v>
      </c>
      <c r="B572" t="s">
        <v>685</v>
      </c>
      <c r="C572" t="s">
        <v>92</v>
      </c>
      <c r="D572" t="s">
        <v>64</v>
      </c>
      <c r="E572" t="s">
        <v>684</v>
      </c>
      <c r="F572" s="13">
        <v>1</v>
      </c>
      <c r="G572" s="14">
        <v>2724.51</v>
      </c>
      <c r="H572" s="13">
        <v>364</v>
      </c>
      <c r="I572" t="s">
        <v>77</v>
      </c>
    </row>
    <row r="573" spans="1:9" x14ac:dyDescent="0.3">
      <c r="A573">
        <v>8750</v>
      </c>
      <c r="B573" t="s">
        <v>402</v>
      </c>
      <c r="C573" t="s">
        <v>97</v>
      </c>
      <c r="D573" t="s">
        <v>65</v>
      </c>
      <c r="E573" t="s">
        <v>684</v>
      </c>
      <c r="F573" s="13">
        <v>1</v>
      </c>
      <c r="G573" s="14">
        <v>7879.15</v>
      </c>
      <c r="H573" s="13">
        <v>364</v>
      </c>
      <c r="I573" t="s">
        <v>77</v>
      </c>
    </row>
    <row r="574" spans="1:9" x14ac:dyDescent="0.3">
      <c r="A574">
        <v>8872</v>
      </c>
      <c r="B574" t="s">
        <v>686</v>
      </c>
      <c r="C574" t="s">
        <v>97</v>
      </c>
      <c r="D574" t="s">
        <v>65</v>
      </c>
      <c r="E574" t="s">
        <v>684</v>
      </c>
      <c r="F574" s="13">
        <v>1</v>
      </c>
      <c r="G574" s="14">
        <v>347</v>
      </c>
      <c r="H574" s="13">
        <v>364</v>
      </c>
      <c r="I574" t="s">
        <v>77</v>
      </c>
    </row>
    <row r="575" spans="1:9" x14ac:dyDescent="0.3">
      <c r="A575">
        <v>2003</v>
      </c>
      <c r="B575" t="s">
        <v>346</v>
      </c>
      <c r="C575" t="s">
        <v>92</v>
      </c>
      <c r="D575" t="s">
        <v>64</v>
      </c>
      <c r="E575" t="s">
        <v>687</v>
      </c>
      <c r="F575" s="13">
        <v>2</v>
      </c>
      <c r="G575" s="14">
        <v>2291.11</v>
      </c>
      <c r="H575" s="13">
        <v>363</v>
      </c>
      <c r="I575" t="s">
        <v>77</v>
      </c>
    </row>
    <row r="576" spans="1:9" x14ac:dyDescent="0.3">
      <c r="A576">
        <v>4134</v>
      </c>
      <c r="B576" t="s">
        <v>688</v>
      </c>
      <c r="C576" t="s">
        <v>95</v>
      </c>
      <c r="D576" t="s">
        <v>65</v>
      </c>
      <c r="E576" t="s">
        <v>687</v>
      </c>
      <c r="F576" s="13">
        <v>2</v>
      </c>
      <c r="G576" s="14">
        <v>2476.9699999999998</v>
      </c>
      <c r="H576" s="13">
        <v>363</v>
      </c>
      <c r="I576" t="s">
        <v>77</v>
      </c>
    </row>
    <row r="577" spans="1:9" x14ac:dyDescent="0.3">
      <c r="A577">
        <v>4659</v>
      </c>
      <c r="B577" t="s">
        <v>689</v>
      </c>
      <c r="C577" t="s">
        <v>92</v>
      </c>
      <c r="D577" t="s">
        <v>64</v>
      </c>
      <c r="E577" t="s">
        <v>687</v>
      </c>
      <c r="F577" s="13">
        <v>1</v>
      </c>
      <c r="G577" s="14">
        <v>112.74</v>
      </c>
      <c r="H577" s="13">
        <v>363</v>
      </c>
      <c r="I577" t="s">
        <v>77</v>
      </c>
    </row>
    <row r="578" spans="1:9" x14ac:dyDescent="0.3">
      <c r="A578">
        <v>5731</v>
      </c>
      <c r="B578" t="s">
        <v>690</v>
      </c>
      <c r="C578" t="s">
        <v>95</v>
      </c>
      <c r="D578" t="s">
        <v>65</v>
      </c>
      <c r="E578" t="s">
        <v>687</v>
      </c>
      <c r="F578" s="13">
        <v>1</v>
      </c>
      <c r="G578" s="14">
        <v>5856.59</v>
      </c>
      <c r="H578" s="13">
        <v>363</v>
      </c>
      <c r="I578" t="s">
        <v>77</v>
      </c>
    </row>
    <row r="579" spans="1:9" x14ac:dyDescent="0.3">
      <c r="A579">
        <v>466</v>
      </c>
      <c r="B579" t="s">
        <v>691</v>
      </c>
      <c r="C579" t="s">
        <v>123</v>
      </c>
      <c r="D579" t="s">
        <v>65</v>
      </c>
      <c r="E579" t="s">
        <v>692</v>
      </c>
      <c r="F579" s="13">
        <v>1</v>
      </c>
      <c r="G579" s="14">
        <v>3156.11</v>
      </c>
      <c r="H579" s="13">
        <v>362</v>
      </c>
      <c r="I579" t="s">
        <v>77</v>
      </c>
    </row>
    <row r="580" spans="1:9" x14ac:dyDescent="0.3">
      <c r="A580">
        <v>3042</v>
      </c>
      <c r="B580" t="s">
        <v>693</v>
      </c>
      <c r="C580" t="s">
        <v>97</v>
      </c>
      <c r="D580" t="s">
        <v>65</v>
      </c>
      <c r="E580" t="s">
        <v>692</v>
      </c>
      <c r="F580" s="13">
        <v>1</v>
      </c>
      <c r="G580" s="14">
        <v>245.87</v>
      </c>
      <c r="H580" s="13">
        <v>362</v>
      </c>
      <c r="I580" t="s">
        <v>77</v>
      </c>
    </row>
    <row r="581" spans="1:9" x14ac:dyDescent="0.3">
      <c r="A581">
        <v>3601</v>
      </c>
      <c r="B581" t="s">
        <v>582</v>
      </c>
      <c r="C581" t="s">
        <v>100</v>
      </c>
      <c r="D581" t="s">
        <v>66</v>
      </c>
      <c r="E581" t="s">
        <v>692</v>
      </c>
      <c r="F581" s="13">
        <v>2</v>
      </c>
      <c r="G581" s="14">
        <v>250.22</v>
      </c>
      <c r="H581" s="13">
        <v>362</v>
      </c>
      <c r="I581" t="s">
        <v>77</v>
      </c>
    </row>
    <row r="582" spans="1:9" x14ac:dyDescent="0.3">
      <c r="A582">
        <v>598</v>
      </c>
      <c r="B582" t="s">
        <v>694</v>
      </c>
      <c r="C582" t="s">
        <v>92</v>
      </c>
      <c r="D582" t="s">
        <v>64</v>
      </c>
      <c r="E582" t="s">
        <v>695</v>
      </c>
      <c r="F582" s="13">
        <v>1</v>
      </c>
      <c r="G582" s="14">
        <v>2855.67</v>
      </c>
      <c r="H582" s="13">
        <v>361</v>
      </c>
      <c r="I582" t="s">
        <v>77</v>
      </c>
    </row>
    <row r="583" spans="1:9" x14ac:dyDescent="0.3">
      <c r="A583">
        <v>3923</v>
      </c>
      <c r="B583" t="s">
        <v>696</v>
      </c>
      <c r="C583" t="s">
        <v>90</v>
      </c>
      <c r="D583" t="s">
        <v>66</v>
      </c>
      <c r="E583" t="s">
        <v>695</v>
      </c>
      <c r="F583" s="13">
        <v>1</v>
      </c>
      <c r="G583" s="14">
        <v>391.07</v>
      </c>
      <c r="H583" s="13">
        <v>361</v>
      </c>
      <c r="I583" t="s">
        <v>77</v>
      </c>
    </row>
    <row r="584" spans="1:9" x14ac:dyDescent="0.3">
      <c r="A584">
        <v>5067</v>
      </c>
      <c r="B584" t="s">
        <v>321</v>
      </c>
      <c r="C584" t="s">
        <v>121</v>
      </c>
      <c r="D584" t="s">
        <v>67</v>
      </c>
      <c r="E584" t="s">
        <v>695</v>
      </c>
      <c r="F584" s="13">
        <v>2</v>
      </c>
      <c r="G584" s="14">
        <v>640.79999999999995</v>
      </c>
      <c r="H584" s="13">
        <v>361</v>
      </c>
      <c r="I584" t="s">
        <v>77</v>
      </c>
    </row>
    <row r="585" spans="1:9" x14ac:dyDescent="0.3">
      <c r="A585">
        <v>6061</v>
      </c>
      <c r="B585" t="s">
        <v>697</v>
      </c>
      <c r="C585" t="s">
        <v>95</v>
      </c>
      <c r="D585" t="s">
        <v>65</v>
      </c>
      <c r="E585" t="s">
        <v>695</v>
      </c>
      <c r="F585" s="13">
        <v>2</v>
      </c>
      <c r="G585" s="14">
        <v>3103.97</v>
      </c>
      <c r="H585" s="13">
        <v>361</v>
      </c>
      <c r="I585" t="s">
        <v>77</v>
      </c>
    </row>
    <row r="586" spans="1:9" x14ac:dyDescent="0.3">
      <c r="A586">
        <v>7262</v>
      </c>
      <c r="B586" t="s">
        <v>698</v>
      </c>
      <c r="C586" t="s">
        <v>137</v>
      </c>
      <c r="D586" t="s">
        <v>64</v>
      </c>
      <c r="E586" t="s">
        <v>699</v>
      </c>
      <c r="F586" s="13">
        <v>1</v>
      </c>
      <c r="G586" s="14">
        <v>3092.4</v>
      </c>
      <c r="H586" s="13">
        <v>360</v>
      </c>
      <c r="I586" t="s">
        <v>77</v>
      </c>
    </row>
    <row r="587" spans="1:9" x14ac:dyDescent="0.3">
      <c r="A587">
        <v>203</v>
      </c>
      <c r="B587" t="s">
        <v>135</v>
      </c>
      <c r="C587" t="s">
        <v>92</v>
      </c>
      <c r="D587" t="s">
        <v>64</v>
      </c>
      <c r="E587" t="s">
        <v>700</v>
      </c>
      <c r="F587" s="13">
        <v>1</v>
      </c>
      <c r="G587" s="14">
        <v>2122.64</v>
      </c>
      <c r="H587" s="13">
        <v>359</v>
      </c>
      <c r="I587" t="s">
        <v>77</v>
      </c>
    </row>
    <row r="588" spans="1:9" x14ac:dyDescent="0.3">
      <c r="A588">
        <v>3823</v>
      </c>
      <c r="B588" t="s">
        <v>113</v>
      </c>
      <c r="C588" t="s">
        <v>92</v>
      </c>
      <c r="D588" t="s">
        <v>64</v>
      </c>
      <c r="E588" t="s">
        <v>700</v>
      </c>
      <c r="F588" s="13">
        <v>1</v>
      </c>
      <c r="G588" s="14">
        <v>2760.88</v>
      </c>
      <c r="H588" s="13">
        <v>359</v>
      </c>
      <c r="I588" t="s">
        <v>77</v>
      </c>
    </row>
    <row r="589" spans="1:9" x14ac:dyDescent="0.3">
      <c r="A589">
        <v>7426</v>
      </c>
      <c r="B589" t="s">
        <v>240</v>
      </c>
      <c r="C589" t="s">
        <v>137</v>
      </c>
      <c r="D589" t="s">
        <v>64</v>
      </c>
      <c r="E589" t="s">
        <v>700</v>
      </c>
      <c r="F589" s="13">
        <v>3</v>
      </c>
      <c r="G589" s="14">
        <v>13877.08</v>
      </c>
      <c r="H589" s="13">
        <v>359</v>
      </c>
      <c r="I589" t="s">
        <v>77</v>
      </c>
    </row>
    <row r="590" spans="1:9" x14ac:dyDescent="0.3">
      <c r="A590">
        <v>36</v>
      </c>
      <c r="B590" t="s">
        <v>588</v>
      </c>
      <c r="C590" t="s">
        <v>97</v>
      </c>
      <c r="D590" t="s">
        <v>65</v>
      </c>
      <c r="E590" t="s">
        <v>701</v>
      </c>
      <c r="F590" s="13">
        <v>2</v>
      </c>
      <c r="G590" s="14">
        <v>3496.65</v>
      </c>
      <c r="H590" s="13">
        <v>358</v>
      </c>
      <c r="I590" t="s">
        <v>77</v>
      </c>
    </row>
    <row r="591" spans="1:9" x14ac:dyDescent="0.3">
      <c r="A591">
        <v>1428</v>
      </c>
      <c r="B591" t="s">
        <v>89</v>
      </c>
      <c r="C591" t="s">
        <v>90</v>
      </c>
      <c r="D591" t="s">
        <v>66</v>
      </c>
      <c r="E591" t="s">
        <v>701</v>
      </c>
      <c r="F591" s="13">
        <v>1</v>
      </c>
      <c r="G591" s="14">
        <v>452.22</v>
      </c>
      <c r="H591" s="13">
        <v>358</v>
      </c>
      <c r="I591" t="s">
        <v>77</v>
      </c>
    </row>
    <row r="592" spans="1:9" x14ac:dyDescent="0.3">
      <c r="A592">
        <v>1479</v>
      </c>
      <c r="B592" t="s">
        <v>702</v>
      </c>
      <c r="C592" t="s">
        <v>92</v>
      </c>
      <c r="D592" t="s">
        <v>64</v>
      </c>
      <c r="E592" t="s">
        <v>701</v>
      </c>
      <c r="F592" s="13">
        <v>1</v>
      </c>
      <c r="G592" s="14">
        <v>696.67</v>
      </c>
      <c r="H592" s="13">
        <v>358</v>
      </c>
      <c r="I592" t="s">
        <v>77</v>
      </c>
    </row>
    <row r="593" spans="1:9" x14ac:dyDescent="0.3">
      <c r="A593">
        <v>4198</v>
      </c>
      <c r="B593" t="s">
        <v>514</v>
      </c>
      <c r="C593" t="s">
        <v>103</v>
      </c>
      <c r="D593" t="s">
        <v>67</v>
      </c>
      <c r="E593" t="s">
        <v>701</v>
      </c>
      <c r="F593" s="13">
        <v>1</v>
      </c>
      <c r="G593" s="14">
        <v>3058.33</v>
      </c>
      <c r="H593" s="13">
        <v>358</v>
      </c>
      <c r="I593" t="s">
        <v>77</v>
      </c>
    </row>
    <row r="594" spans="1:9" x14ac:dyDescent="0.3">
      <c r="A594">
        <v>8022</v>
      </c>
      <c r="B594" t="s">
        <v>703</v>
      </c>
      <c r="C594" t="s">
        <v>249</v>
      </c>
      <c r="D594" t="s">
        <v>67</v>
      </c>
      <c r="E594" t="s">
        <v>701</v>
      </c>
      <c r="F594" s="13">
        <v>2</v>
      </c>
      <c r="G594" s="14">
        <v>1618.23</v>
      </c>
      <c r="H594" s="13">
        <v>358</v>
      </c>
      <c r="I594" t="s">
        <v>77</v>
      </c>
    </row>
    <row r="595" spans="1:9" x14ac:dyDescent="0.3">
      <c r="A595">
        <v>8075</v>
      </c>
      <c r="B595" t="s">
        <v>704</v>
      </c>
      <c r="C595" t="s">
        <v>133</v>
      </c>
      <c r="D595" t="s">
        <v>64</v>
      </c>
      <c r="E595" t="s">
        <v>701</v>
      </c>
      <c r="F595" s="13">
        <v>1</v>
      </c>
      <c r="G595" s="14">
        <v>741.74</v>
      </c>
      <c r="H595" s="13">
        <v>358</v>
      </c>
      <c r="I595" t="s">
        <v>77</v>
      </c>
    </row>
    <row r="596" spans="1:9" x14ac:dyDescent="0.3">
      <c r="A596">
        <v>2571</v>
      </c>
      <c r="B596" t="s">
        <v>396</v>
      </c>
      <c r="C596" t="s">
        <v>97</v>
      </c>
      <c r="D596" t="s">
        <v>65</v>
      </c>
      <c r="E596" t="s">
        <v>705</v>
      </c>
      <c r="F596" s="13">
        <v>1</v>
      </c>
      <c r="G596" s="14">
        <v>4279.07</v>
      </c>
      <c r="H596" s="13">
        <v>357</v>
      </c>
      <c r="I596" t="s">
        <v>77</v>
      </c>
    </row>
    <row r="597" spans="1:9" x14ac:dyDescent="0.3">
      <c r="A597">
        <v>2965</v>
      </c>
      <c r="B597" t="s">
        <v>140</v>
      </c>
      <c r="C597" t="s">
        <v>92</v>
      </c>
      <c r="D597" t="s">
        <v>64</v>
      </c>
      <c r="E597" t="s">
        <v>705</v>
      </c>
      <c r="F597" s="13">
        <v>2</v>
      </c>
      <c r="G597" s="14">
        <v>3505.98</v>
      </c>
      <c r="H597" s="13">
        <v>357</v>
      </c>
      <c r="I597" t="s">
        <v>77</v>
      </c>
    </row>
    <row r="598" spans="1:9" x14ac:dyDescent="0.3">
      <c r="A598">
        <v>6277</v>
      </c>
      <c r="B598" t="s">
        <v>449</v>
      </c>
      <c r="C598" t="s">
        <v>90</v>
      </c>
      <c r="D598" t="s">
        <v>66</v>
      </c>
      <c r="E598" t="s">
        <v>705</v>
      </c>
      <c r="F598" s="13">
        <v>2</v>
      </c>
      <c r="G598" s="14">
        <v>6332.89</v>
      </c>
      <c r="H598" s="13">
        <v>357</v>
      </c>
      <c r="I598" t="s">
        <v>77</v>
      </c>
    </row>
    <row r="599" spans="1:9" x14ac:dyDescent="0.3">
      <c r="A599">
        <v>7212</v>
      </c>
      <c r="B599" t="s">
        <v>706</v>
      </c>
      <c r="C599" t="s">
        <v>133</v>
      </c>
      <c r="D599" t="s">
        <v>64</v>
      </c>
      <c r="E599" t="s">
        <v>705</v>
      </c>
      <c r="F599" s="13">
        <v>1</v>
      </c>
      <c r="G599" s="14">
        <v>94.45</v>
      </c>
      <c r="H599" s="13">
        <v>357</v>
      </c>
      <c r="I599" t="s">
        <v>77</v>
      </c>
    </row>
    <row r="600" spans="1:9" x14ac:dyDescent="0.3">
      <c r="A600">
        <v>7341</v>
      </c>
      <c r="B600" t="s">
        <v>707</v>
      </c>
      <c r="C600" t="s">
        <v>95</v>
      </c>
      <c r="D600" t="s">
        <v>65</v>
      </c>
      <c r="E600" t="s">
        <v>705</v>
      </c>
      <c r="F600" s="13">
        <v>1</v>
      </c>
      <c r="G600" s="14">
        <v>1515.87</v>
      </c>
      <c r="H600" s="13">
        <v>357</v>
      </c>
      <c r="I600" t="s">
        <v>77</v>
      </c>
    </row>
    <row r="601" spans="1:9" x14ac:dyDescent="0.3">
      <c r="A601">
        <v>7390</v>
      </c>
      <c r="B601" t="s">
        <v>708</v>
      </c>
      <c r="C601" t="s">
        <v>133</v>
      </c>
      <c r="D601" t="s">
        <v>64</v>
      </c>
      <c r="E601" t="s">
        <v>705</v>
      </c>
      <c r="F601" s="13">
        <v>1</v>
      </c>
      <c r="G601" s="14">
        <v>272.12</v>
      </c>
      <c r="H601" s="13">
        <v>357</v>
      </c>
      <c r="I601" t="s">
        <v>77</v>
      </c>
    </row>
    <row r="602" spans="1:9" x14ac:dyDescent="0.3">
      <c r="A602">
        <v>8235</v>
      </c>
      <c r="B602" t="s">
        <v>178</v>
      </c>
      <c r="C602" t="s">
        <v>92</v>
      </c>
      <c r="D602" t="s">
        <v>64</v>
      </c>
      <c r="E602" t="s">
        <v>705</v>
      </c>
      <c r="F602" s="13">
        <v>1</v>
      </c>
      <c r="G602" s="14">
        <v>366.67</v>
      </c>
      <c r="H602" s="13">
        <v>357</v>
      </c>
      <c r="I602" t="s">
        <v>77</v>
      </c>
    </row>
    <row r="603" spans="1:9" x14ac:dyDescent="0.3">
      <c r="A603">
        <v>824</v>
      </c>
      <c r="B603" t="s">
        <v>414</v>
      </c>
      <c r="C603" t="s">
        <v>87</v>
      </c>
      <c r="D603" t="s">
        <v>64</v>
      </c>
      <c r="E603" t="s">
        <v>709</v>
      </c>
      <c r="F603" s="13">
        <v>1</v>
      </c>
      <c r="G603" s="14">
        <v>736.99</v>
      </c>
      <c r="H603" s="13">
        <v>356</v>
      </c>
      <c r="I603" t="s">
        <v>77</v>
      </c>
    </row>
    <row r="604" spans="1:9" x14ac:dyDescent="0.3">
      <c r="A604">
        <v>2537</v>
      </c>
      <c r="B604" t="s">
        <v>710</v>
      </c>
      <c r="C604" t="s">
        <v>92</v>
      </c>
      <c r="D604" t="s">
        <v>64</v>
      </c>
      <c r="E604" t="s">
        <v>709</v>
      </c>
      <c r="F604" s="13">
        <v>1</v>
      </c>
      <c r="G604" s="14">
        <v>1257.6500000000001</v>
      </c>
      <c r="H604" s="13">
        <v>356</v>
      </c>
      <c r="I604" t="s">
        <v>77</v>
      </c>
    </row>
    <row r="605" spans="1:9" x14ac:dyDescent="0.3">
      <c r="A605">
        <v>3679</v>
      </c>
      <c r="B605" t="s">
        <v>711</v>
      </c>
      <c r="C605" t="s">
        <v>92</v>
      </c>
      <c r="D605" t="s">
        <v>64</v>
      </c>
      <c r="E605" t="s">
        <v>709</v>
      </c>
      <c r="F605" s="13">
        <v>1</v>
      </c>
      <c r="G605" s="14">
        <v>1248.8599999999999</v>
      </c>
      <c r="H605" s="13">
        <v>356</v>
      </c>
      <c r="I605" t="s">
        <v>77</v>
      </c>
    </row>
    <row r="606" spans="1:9" x14ac:dyDescent="0.3">
      <c r="A606">
        <v>4601</v>
      </c>
      <c r="B606" t="s">
        <v>641</v>
      </c>
      <c r="C606" t="s">
        <v>133</v>
      </c>
      <c r="D606" t="s">
        <v>64</v>
      </c>
      <c r="E606" t="s">
        <v>712</v>
      </c>
      <c r="F606" s="13">
        <v>1</v>
      </c>
      <c r="G606" s="14">
        <v>1334.42</v>
      </c>
      <c r="H606" s="13">
        <v>355</v>
      </c>
      <c r="I606" t="s">
        <v>77</v>
      </c>
    </row>
    <row r="607" spans="1:9" x14ac:dyDescent="0.3">
      <c r="A607">
        <v>5235</v>
      </c>
      <c r="B607" t="s">
        <v>713</v>
      </c>
      <c r="C607" t="s">
        <v>133</v>
      </c>
      <c r="D607" t="s">
        <v>64</v>
      </c>
      <c r="E607" t="s">
        <v>712</v>
      </c>
      <c r="F607" s="13">
        <v>2</v>
      </c>
      <c r="G607" s="14">
        <v>4864.7</v>
      </c>
      <c r="H607" s="13">
        <v>355</v>
      </c>
      <c r="I607" t="s">
        <v>77</v>
      </c>
    </row>
    <row r="608" spans="1:9" x14ac:dyDescent="0.3">
      <c r="A608">
        <v>6701</v>
      </c>
      <c r="B608" t="s">
        <v>327</v>
      </c>
      <c r="C608" t="s">
        <v>92</v>
      </c>
      <c r="D608" t="s">
        <v>64</v>
      </c>
      <c r="E608" t="s">
        <v>712</v>
      </c>
      <c r="F608" s="13">
        <v>2</v>
      </c>
      <c r="G608" s="14">
        <v>2119.92</v>
      </c>
      <c r="H608" s="13">
        <v>355</v>
      </c>
      <c r="I608" t="s">
        <v>77</v>
      </c>
    </row>
    <row r="609" spans="1:9" x14ac:dyDescent="0.3">
      <c r="A609">
        <v>30</v>
      </c>
      <c r="B609" t="s">
        <v>162</v>
      </c>
      <c r="C609" t="s">
        <v>95</v>
      </c>
      <c r="D609" t="s">
        <v>65</v>
      </c>
      <c r="E609" t="s">
        <v>714</v>
      </c>
      <c r="F609" s="13">
        <v>1</v>
      </c>
      <c r="G609" s="14">
        <v>490.22</v>
      </c>
      <c r="H609" s="13">
        <v>354</v>
      </c>
      <c r="I609" t="s">
        <v>77</v>
      </c>
    </row>
    <row r="610" spans="1:9" x14ac:dyDescent="0.3">
      <c r="A610">
        <v>578</v>
      </c>
      <c r="B610" t="s">
        <v>346</v>
      </c>
      <c r="C610" t="s">
        <v>249</v>
      </c>
      <c r="D610" t="s">
        <v>67</v>
      </c>
      <c r="E610" t="s">
        <v>714</v>
      </c>
      <c r="F610" s="13">
        <v>1</v>
      </c>
      <c r="G610" s="14">
        <v>1897.44</v>
      </c>
      <c r="H610" s="13">
        <v>354</v>
      </c>
      <c r="I610" t="s">
        <v>77</v>
      </c>
    </row>
    <row r="611" spans="1:9" x14ac:dyDescent="0.3">
      <c r="A611">
        <v>1396</v>
      </c>
      <c r="B611" t="s">
        <v>715</v>
      </c>
      <c r="C611" t="s">
        <v>137</v>
      </c>
      <c r="D611" t="s">
        <v>64</v>
      </c>
      <c r="E611" t="s">
        <v>714</v>
      </c>
      <c r="F611" s="13">
        <v>1</v>
      </c>
      <c r="G611" s="14">
        <v>1451</v>
      </c>
      <c r="H611" s="13">
        <v>354</v>
      </c>
      <c r="I611" t="s">
        <v>77</v>
      </c>
    </row>
    <row r="612" spans="1:9" x14ac:dyDescent="0.3">
      <c r="A612">
        <v>5087</v>
      </c>
      <c r="B612" t="s">
        <v>638</v>
      </c>
      <c r="C612" t="s">
        <v>114</v>
      </c>
      <c r="D612" t="s">
        <v>66</v>
      </c>
      <c r="E612" t="s">
        <v>714</v>
      </c>
      <c r="F612" s="13">
        <v>1</v>
      </c>
      <c r="G612" s="14">
        <v>2370.5</v>
      </c>
      <c r="H612" s="13">
        <v>354</v>
      </c>
      <c r="I612" t="s">
        <v>77</v>
      </c>
    </row>
    <row r="613" spans="1:9" x14ac:dyDescent="0.3">
      <c r="A613">
        <v>7284</v>
      </c>
      <c r="B613" t="s">
        <v>414</v>
      </c>
      <c r="C613" t="s">
        <v>123</v>
      </c>
      <c r="D613" t="s">
        <v>65</v>
      </c>
      <c r="E613" t="s">
        <v>714</v>
      </c>
      <c r="F613" s="13">
        <v>1</v>
      </c>
      <c r="G613" s="14">
        <v>541.36</v>
      </c>
      <c r="H613" s="13">
        <v>354</v>
      </c>
      <c r="I613" t="s">
        <v>77</v>
      </c>
    </row>
    <row r="614" spans="1:9" x14ac:dyDescent="0.3">
      <c r="A614">
        <v>3461</v>
      </c>
      <c r="B614" t="s">
        <v>540</v>
      </c>
      <c r="C614" t="s">
        <v>92</v>
      </c>
      <c r="D614" t="s">
        <v>64</v>
      </c>
      <c r="E614" t="s">
        <v>716</v>
      </c>
      <c r="F614" s="13">
        <v>2</v>
      </c>
      <c r="G614" s="14">
        <v>5733.21</v>
      </c>
      <c r="H614" s="13">
        <v>353</v>
      </c>
      <c r="I614" t="s">
        <v>77</v>
      </c>
    </row>
    <row r="615" spans="1:9" x14ac:dyDescent="0.3">
      <c r="A615">
        <v>6521</v>
      </c>
      <c r="B615" t="s">
        <v>153</v>
      </c>
      <c r="C615" t="s">
        <v>87</v>
      </c>
      <c r="D615" t="s">
        <v>64</v>
      </c>
      <c r="E615" t="s">
        <v>716</v>
      </c>
      <c r="F615" s="13">
        <v>3</v>
      </c>
      <c r="G615" s="14">
        <v>2232.35</v>
      </c>
      <c r="H615" s="13">
        <v>353</v>
      </c>
      <c r="I615" t="s">
        <v>77</v>
      </c>
    </row>
    <row r="616" spans="1:9" x14ac:dyDescent="0.3">
      <c r="A616">
        <v>2164</v>
      </c>
      <c r="B616" t="s">
        <v>717</v>
      </c>
      <c r="C616" t="s">
        <v>90</v>
      </c>
      <c r="D616" t="s">
        <v>66</v>
      </c>
      <c r="E616" t="s">
        <v>718</v>
      </c>
      <c r="F616" s="13">
        <v>1</v>
      </c>
      <c r="G616" s="14">
        <v>159.05000000000001</v>
      </c>
      <c r="H616" s="13">
        <v>352</v>
      </c>
      <c r="I616" t="s">
        <v>77</v>
      </c>
    </row>
    <row r="617" spans="1:9" x14ac:dyDescent="0.3">
      <c r="A617">
        <v>8365</v>
      </c>
      <c r="B617" t="s">
        <v>719</v>
      </c>
      <c r="C617" t="s">
        <v>97</v>
      </c>
      <c r="D617" t="s">
        <v>65</v>
      </c>
      <c r="E617" t="s">
        <v>718</v>
      </c>
      <c r="F617" s="13">
        <v>1</v>
      </c>
      <c r="G617" s="14">
        <v>69.83</v>
      </c>
      <c r="H617" s="13">
        <v>352</v>
      </c>
      <c r="I617" t="s">
        <v>77</v>
      </c>
    </row>
    <row r="618" spans="1:9" x14ac:dyDescent="0.3">
      <c r="A618">
        <v>579</v>
      </c>
      <c r="B618" t="s">
        <v>149</v>
      </c>
      <c r="C618" t="s">
        <v>92</v>
      </c>
      <c r="D618" t="s">
        <v>64</v>
      </c>
      <c r="E618" t="s">
        <v>720</v>
      </c>
      <c r="F618" s="13">
        <v>1</v>
      </c>
      <c r="G618" s="14">
        <v>551.49</v>
      </c>
      <c r="H618" s="13">
        <v>351</v>
      </c>
      <c r="I618" t="s">
        <v>77</v>
      </c>
    </row>
    <row r="619" spans="1:9" x14ac:dyDescent="0.3">
      <c r="A619">
        <v>982</v>
      </c>
      <c r="B619" t="s">
        <v>721</v>
      </c>
      <c r="C619" t="s">
        <v>123</v>
      </c>
      <c r="D619" t="s">
        <v>65</v>
      </c>
      <c r="E619" t="s">
        <v>720</v>
      </c>
      <c r="F619" s="13">
        <v>2</v>
      </c>
      <c r="G619" s="14">
        <v>3413.37</v>
      </c>
      <c r="H619" s="13">
        <v>351</v>
      </c>
      <c r="I619" t="s">
        <v>77</v>
      </c>
    </row>
    <row r="620" spans="1:9" x14ac:dyDescent="0.3">
      <c r="A620">
        <v>3049</v>
      </c>
      <c r="B620" t="s">
        <v>722</v>
      </c>
      <c r="C620" t="s">
        <v>92</v>
      </c>
      <c r="D620" t="s">
        <v>64</v>
      </c>
      <c r="E620" t="s">
        <v>720</v>
      </c>
      <c r="F620" s="13">
        <v>2</v>
      </c>
      <c r="G620" s="14">
        <v>6505.53</v>
      </c>
      <c r="H620" s="13">
        <v>351</v>
      </c>
      <c r="I620" t="s">
        <v>77</v>
      </c>
    </row>
    <row r="621" spans="1:9" x14ac:dyDescent="0.3">
      <c r="A621">
        <v>3345</v>
      </c>
      <c r="B621" t="s">
        <v>723</v>
      </c>
      <c r="C621" t="s">
        <v>92</v>
      </c>
      <c r="D621" t="s">
        <v>64</v>
      </c>
      <c r="E621" t="s">
        <v>720</v>
      </c>
      <c r="F621" s="13">
        <v>2</v>
      </c>
      <c r="G621" s="14">
        <v>1808.36</v>
      </c>
      <c r="H621" s="13">
        <v>351</v>
      </c>
      <c r="I621" t="s">
        <v>77</v>
      </c>
    </row>
    <row r="622" spans="1:9" x14ac:dyDescent="0.3">
      <c r="A622">
        <v>5982</v>
      </c>
      <c r="B622" t="s">
        <v>724</v>
      </c>
      <c r="C622" t="s">
        <v>123</v>
      </c>
      <c r="D622" t="s">
        <v>65</v>
      </c>
      <c r="E622" t="s">
        <v>720</v>
      </c>
      <c r="F622" s="13">
        <v>1</v>
      </c>
      <c r="G622" s="14">
        <v>38.03</v>
      </c>
      <c r="H622" s="13">
        <v>351</v>
      </c>
      <c r="I622" t="s">
        <v>77</v>
      </c>
    </row>
    <row r="623" spans="1:9" x14ac:dyDescent="0.3">
      <c r="A623">
        <v>7213</v>
      </c>
      <c r="B623" t="s">
        <v>120</v>
      </c>
      <c r="C623" t="s">
        <v>92</v>
      </c>
      <c r="D623" t="s">
        <v>64</v>
      </c>
      <c r="E623" t="s">
        <v>720</v>
      </c>
      <c r="F623" s="13">
        <v>1</v>
      </c>
      <c r="G623" s="14">
        <v>1124.5</v>
      </c>
      <c r="H623" s="13">
        <v>351</v>
      </c>
      <c r="I623" t="s">
        <v>77</v>
      </c>
    </row>
    <row r="624" spans="1:9" x14ac:dyDescent="0.3">
      <c r="A624">
        <v>7897</v>
      </c>
      <c r="B624" t="s">
        <v>201</v>
      </c>
      <c r="C624" t="s">
        <v>123</v>
      </c>
      <c r="D624" t="s">
        <v>65</v>
      </c>
      <c r="E624" t="s">
        <v>720</v>
      </c>
      <c r="F624" s="13">
        <v>1</v>
      </c>
      <c r="G624" s="14">
        <v>146.91</v>
      </c>
      <c r="H624" s="13">
        <v>351</v>
      </c>
      <c r="I624" t="s">
        <v>77</v>
      </c>
    </row>
    <row r="625" spans="1:9" x14ac:dyDescent="0.3">
      <c r="A625">
        <v>8898</v>
      </c>
      <c r="B625" t="s">
        <v>725</v>
      </c>
      <c r="C625" t="s">
        <v>90</v>
      </c>
      <c r="D625" t="s">
        <v>66</v>
      </c>
      <c r="E625" t="s">
        <v>720</v>
      </c>
      <c r="F625" s="13">
        <v>1</v>
      </c>
      <c r="G625" s="14">
        <v>465.3</v>
      </c>
      <c r="H625" s="13">
        <v>351</v>
      </c>
      <c r="I625" t="s">
        <v>77</v>
      </c>
    </row>
    <row r="626" spans="1:9" x14ac:dyDescent="0.3">
      <c r="A626">
        <v>4896</v>
      </c>
      <c r="B626" t="s">
        <v>726</v>
      </c>
      <c r="C626" t="s">
        <v>103</v>
      </c>
      <c r="D626" t="s">
        <v>67</v>
      </c>
      <c r="E626" t="s">
        <v>727</v>
      </c>
      <c r="F626" s="13">
        <v>1</v>
      </c>
      <c r="G626" s="14">
        <v>623.66999999999996</v>
      </c>
      <c r="H626" s="13">
        <v>350</v>
      </c>
      <c r="I626" t="s">
        <v>77</v>
      </c>
    </row>
    <row r="627" spans="1:9" x14ac:dyDescent="0.3">
      <c r="A627">
        <v>5805</v>
      </c>
      <c r="B627" t="s">
        <v>213</v>
      </c>
      <c r="C627" t="s">
        <v>156</v>
      </c>
      <c r="D627" t="s">
        <v>68</v>
      </c>
      <c r="E627" t="s">
        <v>727</v>
      </c>
      <c r="F627" s="13">
        <v>1</v>
      </c>
      <c r="G627" s="14">
        <v>2003.73</v>
      </c>
      <c r="H627" s="13">
        <v>350</v>
      </c>
      <c r="I627" t="s">
        <v>77</v>
      </c>
    </row>
    <row r="628" spans="1:9" x14ac:dyDescent="0.3">
      <c r="A628">
        <v>7147</v>
      </c>
      <c r="B628" t="s">
        <v>319</v>
      </c>
      <c r="C628" t="s">
        <v>90</v>
      </c>
      <c r="D628" t="s">
        <v>66</v>
      </c>
      <c r="E628" t="s">
        <v>727</v>
      </c>
      <c r="F628" s="13">
        <v>3</v>
      </c>
      <c r="G628" s="14">
        <v>2216.9</v>
      </c>
      <c r="H628" s="13">
        <v>350</v>
      </c>
      <c r="I628" t="s">
        <v>77</v>
      </c>
    </row>
    <row r="629" spans="1:9" x14ac:dyDescent="0.3">
      <c r="A629">
        <v>8513</v>
      </c>
      <c r="B629" t="s">
        <v>728</v>
      </c>
      <c r="C629" t="s">
        <v>97</v>
      </c>
      <c r="D629" t="s">
        <v>65</v>
      </c>
      <c r="E629" t="s">
        <v>727</v>
      </c>
      <c r="F629" s="13">
        <v>1</v>
      </c>
      <c r="G629" s="14">
        <v>498.22</v>
      </c>
      <c r="H629" s="13">
        <v>350</v>
      </c>
      <c r="I629" t="s">
        <v>77</v>
      </c>
    </row>
    <row r="630" spans="1:9" x14ac:dyDescent="0.3">
      <c r="A630">
        <v>350</v>
      </c>
      <c r="B630" t="s">
        <v>135</v>
      </c>
      <c r="C630" t="s">
        <v>97</v>
      </c>
      <c r="D630" t="s">
        <v>65</v>
      </c>
      <c r="E630" t="s">
        <v>729</v>
      </c>
      <c r="F630" s="13">
        <v>1</v>
      </c>
      <c r="G630" s="14">
        <v>3420.11</v>
      </c>
      <c r="H630" s="13">
        <v>349</v>
      </c>
      <c r="I630" t="s">
        <v>77</v>
      </c>
    </row>
    <row r="631" spans="1:9" x14ac:dyDescent="0.3">
      <c r="A631">
        <v>4283</v>
      </c>
      <c r="B631" t="s">
        <v>730</v>
      </c>
      <c r="C631" t="s">
        <v>137</v>
      </c>
      <c r="D631" t="s">
        <v>64</v>
      </c>
      <c r="E631" t="s">
        <v>729</v>
      </c>
      <c r="F631" s="13">
        <v>1</v>
      </c>
      <c r="G631" s="14">
        <v>469.68</v>
      </c>
      <c r="H631" s="13">
        <v>349</v>
      </c>
      <c r="I631" t="s">
        <v>77</v>
      </c>
    </row>
    <row r="632" spans="1:9" x14ac:dyDescent="0.3">
      <c r="A632">
        <v>7237</v>
      </c>
      <c r="B632" t="s">
        <v>404</v>
      </c>
      <c r="C632" t="s">
        <v>92</v>
      </c>
      <c r="D632" t="s">
        <v>64</v>
      </c>
      <c r="E632" t="s">
        <v>729</v>
      </c>
      <c r="F632" s="13">
        <v>1</v>
      </c>
      <c r="G632" s="14">
        <v>198.46</v>
      </c>
      <c r="H632" s="13">
        <v>349</v>
      </c>
      <c r="I632" t="s">
        <v>77</v>
      </c>
    </row>
    <row r="633" spans="1:9" x14ac:dyDescent="0.3">
      <c r="A633">
        <v>1703</v>
      </c>
      <c r="B633" t="s">
        <v>293</v>
      </c>
      <c r="C633" t="s">
        <v>92</v>
      </c>
      <c r="D633" t="s">
        <v>64</v>
      </c>
      <c r="E633" t="s">
        <v>731</v>
      </c>
      <c r="F633" s="13">
        <v>1</v>
      </c>
      <c r="G633" s="14">
        <v>2581.15</v>
      </c>
      <c r="H633" s="13">
        <v>348</v>
      </c>
      <c r="I633" t="s">
        <v>77</v>
      </c>
    </row>
    <row r="634" spans="1:9" x14ac:dyDescent="0.3">
      <c r="A634">
        <v>3890</v>
      </c>
      <c r="B634" t="s">
        <v>732</v>
      </c>
      <c r="C634" t="s">
        <v>114</v>
      </c>
      <c r="D634" t="s">
        <v>66</v>
      </c>
      <c r="E634" t="s">
        <v>731</v>
      </c>
      <c r="F634" s="13">
        <v>2</v>
      </c>
      <c r="G634" s="14">
        <v>6422.08</v>
      </c>
      <c r="H634" s="13">
        <v>348</v>
      </c>
      <c r="I634" t="s">
        <v>77</v>
      </c>
    </row>
    <row r="635" spans="1:9" x14ac:dyDescent="0.3">
      <c r="A635">
        <v>4393</v>
      </c>
      <c r="B635" t="s">
        <v>606</v>
      </c>
      <c r="C635" t="s">
        <v>137</v>
      </c>
      <c r="D635" t="s">
        <v>64</v>
      </c>
      <c r="E635" t="s">
        <v>731</v>
      </c>
      <c r="F635" s="13">
        <v>1</v>
      </c>
      <c r="G635" s="14">
        <v>4934.83</v>
      </c>
      <c r="H635" s="13">
        <v>348</v>
      </c>
      <c r="I635" t="s">
        <v>77</v>
      </c>
    </row>
    <row r="636" spans="1:9" x14ac:dyDescent="0.3">
      <c r="A636">
        <v>5213</v>
      </c>
      <c r="B636" t="s">
        <v>733</v>
      </c>
      <c r="C636" t="s">
        <v>95</v>
      </c>
      <c r="D636" t="s">
        <v>65</v>
      </c>
      <c r="E636" t="s">
        <v>731</v>
      </c>
      <c r="F636" s="13">
        <v>1</v>
      </c>
      <c r="G636" s="14">
        <v>140.36000000000001</v>
      </c>
      <c r="H636" s="13">
        <v>348</v>
      </c>
      <c r="I636" t="s">
        <v>77</v>
      </c>
    </row>
    <row r="637" spans="1:9" x14ac:dyDescent="0.3">
      <c r="A637">
        <v>8120</v>
      </c>
      <c r="B637" t="s">
        <v>638</v>
      </c>
      <c r="C637" t="s">
        <v>114</v>
      </c>
      <c r="D637" t="s">
        <v>66</v>
      </c>
      <c r="E637" t="s">
        <v>731</v>
      </c>
      <c r="F637" s="13">
        <v>1</v>
      </c>
      <c r="G637" s="14">
        <v>5642.55</v>
      </c>
      <c r="H637" s="13">
        <v>348</v>
      </c>
      <c r="I637" t="s">
        <v>77</v>
      </c>
    </row>
    <row r="638" spans="1:9" x14ac:dyDescent="0.3">
      <c r="A638">
        <v>4059</v>
      </c>
      <c r="B638" t="s">
        <v>86</v>
      </c>
      <c r="C638" t="s">
        <v>133</v>
      </c>
      <c r="D638" t="s">
        <v>64</v>
      </c>
      <c r="E638" t="s">
        <v>734</v>
      </c>
      <c r="F638" s="13">
        <v>1</v>
      </c>
      <c r="G638" s="14">
        <v>1665.03</v>
      </c>
      <c r="H638" s="13">
        <v>347</v>
      </c>
      <c r="I638" t="s">
        <v>77</v>
      </c>
    </row>
    <row r="639" spans="1:9" x14ac:dyDescent="0.3">
      <c r="A639">
        <v>5481</v>
      </c>
      <c r="B639" t="s">
        <v>735</v>
      </c>
      <c r="C639" t="s">
        <v>92</v>
      </c>
      <c r="D639" t="s">
        <v>64</v>
      </c>
      <c r="E639" t="s">
        <v>734</v>
      </c>
      <c r="F639" s="13">
        <v>1</v>
      </c>
      <c r="G639" s="14">
        <v>60.45</v>
      </c>
      <c r="H639" s="13">
        <v>347</v>
      </c>
      <c r="I639" t="s">
        <v>77</v>
      </c>
    </row>
    <row r="640" spans="1:9" x14ac:dyDescent="0.3">
      <c r="A640">
        <v>5620</v>
      </c>
      <c r="B640" t="s">
        <v>736</v>
      </c>
      <c r="C640" t="s">
        <v>97</v>
      </c>
      <c r="D640" t="s">
        <v>65</v>
      </c>
      <c r="E640" t="s">
        <v>734</v>
      </c>
      <c r="F640" s="13">
        <v>1</v>
      </c>
      <c r="G640" s="14">
        <v>4895.82</v>
      </c>
      <c r="H640" s="13">
        <v>347</v>
      </c>
      <c r="I640" t="s">
        <v>77</v>
      </c>
    </row>
    <row r="641" spans="1:9" x14ac:dyDescent="0.3">
      <c r="A641">
        <v>6323</v>
      </c>
      <c r="B641" t="s">
        <v>737</v>
      </c>
      <c r="C641" t="s">
        <v>92</v>
      </c>
      <c r="D641" t="s">
        <v>64</v>
      </c>
      <c r="E641" t="s">
        <v>734</v>
      </c>
      <c r="F641" s="13">
        <v>1</v>
      </c>
      <c r="G641" s="14">
        <v>1029.52</v>
      </c>
      <c r="H641" s="13">
        <v>347</v>
      </c>
      <c r="I641" t="s">
        <v>77</v>
      </c>
    </row>
    <row r="642" spans="1:9" x14ac:dyDescent="0.3">
      <c r="A642">
        <v>427</v>
      </c>
      <c r="B642" t="s">
        <v>738</v>
      </c>
      <c r="C642" t="s">
        <v>100</v>
      </c>
      <c r="D642" t="s">
        <v>66</v>
      </c>
      <c r="E642" t="s">
        <v>739</v>
      </c>
      <c r="F642" s="13">
        <v>2</v>
      </c>
      <c r="G642" s="14">
        <v>2789.06</v>
      </c>
      <c r="H642" s="13">
        <v>346</v>
      </c>
      <c r="I642" t="s">
        <v>77</v>
      </c>
    </row>
    <row r="643" spans="1:9" x14ac:dyDescent="0.3">
      <c r="A643">
        <v>635</v>
      </c>
      <c r="B643" t="s">
        <v>740</v>
      </c>
      <c r="C643" t="s">
        <v>90</v>
      </c>
      <c r="D643" t="s">
        <v>66</v>
      </c>
      <c r="E643" t="s">
        <v>739</v>
      </c>
      <c r="F643" s="13">
        <v>1</v>
      </c>
      <c r="G643" s="14">
        <v>6128.89</v>
      </c>
      <c r="H643" s="13">
        <v>346</v>
      </c>
      <c r="I643" t="s">
        <v>77</v>
      </c>
    </row>
    <row r="644" spans="1:9" x14ac:dyDescent="0.3">
      <c r="A644">
        <v>3332</v>
      </c>
      <c r="B644" t="s">
        <v>741</v>
      </c>
      <c r="C644" t="s">
        <v>92</v>
      </c>
      <c r="D644" t="s">
        <v>64</v>
      </c>
      <c r="E644" t="s">
        <v>739</v>
      </c>
      <c r="F644" s="13">
        <v>2</v>
      </c>
      <c r="G644" s="14">
        <v>4904.2</v>
      </c>
      <c r="H644" s="13">
        <v>346</v>
      </c>
      <c r="I644" t="s">
        <v>77</v>
      </c>
    </row>
    <row r="645" spans="1:9" x14ac:dyDescent="0.3">
      <c r="A645">
        <v>3364</v>
      </c>
      <c r="B645" t="s">
        <v>169</v>
      </c>
      <c r="C645" t="s">
        <v>90</v>
      </c>
      <c r="D645" t="s">
        <v>66</v>
      </c>
      <c r="E645" t="s">
        <v>739</v>
      </c>
      <c r="F645" s="13">
        <v>1</v>
      </c>
      <c r="G645" s="14">
        <v>328.26</v>
      </c>
      <c r="H645" s="13">
        <v>346</v>
      </c>
      <c r="I645" t="s">
        <v>77</v>
      </c>
    </row>
    <row r="646" spans="1:9" x14ac:dyDescent="0.3">
      <c r="A646">
        <v>3782</v>
      </c>
      <c r="B646" t="s">
        <v>274</v>
      </c>
      <c r="C646" t="s">
        <v>103</v>
      </c>
      <c r="D646" t="s">
        <v>67</v>
      </c>
      <c r="E646" t="s">
        <v>739</v>
      </c>
      <c r="F646" s="13">
        <v>1</v>
      </c>
      <c r="G646" s="14">
        <v>1214.1400000000001</v>
      </c>
      <c r="H646" s="13">
        <v>346</v>
      </c>
      <c r="I646" t="s">
        <v>77</v>
      </c>
    </row>
    <row r="647" spans="1:9" x14ac:dyDescent="0.3">
      <c r="A647">
        <v>4330</v>
      </c>
      <c r="B647" t="s">
        <v>742</v>
      </c>
      <c r="C647" t="s">
        <v>123</v>
      </c>
      <c r="D647" t="s">
        <v>65</v>
      </c>
      <c r="E647" t="s">
        <v>739</v>
      </c>
      <c r="F647" s="13">
        <v>1</v>
      </c>
      <c r="G647" s="14">
        <v>539.77</v>
      </c>
      <c r="H647" s="13">
        <v>346</v>
      </c>
      <c r="I647" t="s">
        <v>77</v>
      </c>
    </row>
    <row r="648" spans="1:9" x14ac:dyDescent="0.3">
      <c r="A648">
        <v>6258</v>
      </c>
      <c r="B648" t="s">
        <v>438</v>
      </c>
      <c r="C648" t="s">
        <v>97</v>
      </c>
      <c r="D648" t="s">
        <v>65</v>
      </c>
      <c r="E648" t="s">
        <v>739</v>
      </c>
      <c r="F648" s="13">
        <v>5</v>
      </c>
      <c r="G648" s="14">
        <v>15640.95</v>
      </c>
      <c r="H648" s="13">
        <v>346</v>
      </c>
      <c r="I648" t="s">
        <v>77</v>
      </c>
    </row>
    <row r="649" spans="1:9" x14ac:dyDescent="0.3">
      <c r="A649">
        <v>1606</v>
      </c>
      <c r="B649" t="s">
        <v>237</v>
      </c>
      <c r="C649" t="s">
        <v>133</v>
      </c>
      <c r="D649" t="s">
        <v>64</v>
      </c>
      <c r="E649" t="s">
        <v>743</v>
      </c>
      <c r="F649" s="13">
        <v>1</v>
      </c>
      <c r="G649" s="14">
        <v>1838.99</v>
      </c>
      <c r="H649" s="13">
        <v>345</v>
      </c>
      <c r="I649" t="s">
        <v>77</v>
      </c>
    </row>
    <row r="650" spans="1:9" x14ac:dyDescent="0.3">
      <c r="A650">
        <v>4876</v>
      </c>
      <c r="B650" t="s">
        <v>744</v>
      </c>
      <c r="C650" t="s">
        <v>95</v>
      </c>
      <c r="D650" t="s">
        <v>65</v>
      </c>
      <c r="E650" t="s">
        <v>743</v>
      </c>
      <c r="F650" s="13">
        <v>1</v>
      </c>
      <c r="G650" s="14">
        <v>1552.66</v>
      </c>
      <c r="H650" s="13">
        <v>345</v>
      </c>
      <c r="I650" t="s">
        <v>77</v>
      </c>
    </row>
    <row r="651" spans="1:9" x14ac:dyDescent="0.3">
      <c r="A651">
        <v>5289</v>
      </c>
      <c r="B651" t="s">
        <v>205</v>
      </c>
      <c r="C651" t="s">
        <v>137</v>
      </c>
      <c r="D651" t="s">
        <v>64</v>
      </c>
      <c r="E651" t="s">
        <v>743</v>
      </c>
      <c r="F651" s="13">
        <v>2</v>
      </c>
      <c r="G651" s="14">
        <v>689.87</v>
      </c>
      <c r="H651" s="13">
        <v>345</v>
      </c>
      <c r="I651" t="s">
        <v>77</v>
      </c>
    </row>
    <row r="652" spans="1:9" x14ac:dyDescent="0.3">
      <c r="A652">
        <v>799</v>
      </c>
      <c r="B652" t="s">
        <v>286</v>
      </c>
      <c r="C652" t="s">
        <v>473</v>
      </c>
      <c r="D652" t="s">
        <v>68</v>
      </c>
      <c r="E652" t="s">
        <v>745</v>
      </c>
      <c r="F652" s="13">
        <v>1</v>
      </c>
      <c r="G652" s="14">
        <v>675.74</v>
      </c>
      <c r="H652" s="13">
        <v>344</v>
      </c>
      <c r="I652" t="s">
        <v>77</v>
      </c>
    </row>
    <row r="653" spans="1:9" x14ac:dyDescent="0.3">
      <c r="A653">
        <v>2940</v>
      </c>
      <c r="B653" t="s">
        <v>449</v>
      </c>
      <c r="C653" t="s">
        <v>92</v>
      </c>
      <c r="D653" t="s">
        <v>64</v>
      </c>
      <c r="E653" t="s">
        <v>745</v>
      </c>
      <c r="F653" s="13">
        <v>1</v>
      </c>
      <c r="G653" s="14">
        <v>859.73</v>
      </c>
      <c r="H653" s="13">
        <v>344</v>
      </c>
      <c r="I653" t="s">
        <v>77</v>
      </c>
    </row>
    <row r="654" spans="1:9" x14ac:dyDescent="0.3">
      <c r="A654">
        <v>3521</v>
      </c>
      <c r="B654" t="s">
        <v>746</v>
      </c>
      <c r="C654" t="s">
        <v>92</v>
      </c>
      <c r="D654" t="s">
        <v>64</v>
      </c>
      <c r="E654" t="s">
        <v>745</v>
      </c>
      <c r="F654" s="13">
        <v>1</v>
      </c>
      <c r="G654" s="14">
        <v>381.62</v>
      </c>
      <c r="H654" s="13">
        <v>344</v>
      </c>
      <c r="I654" t="s">
        <v>77</v>
      </c>
    </row>
    <row r="655" spans="1:9" x14ac:dyDescent="0.3">
      <c r="A655">
        <v>4324</v>
      </c>
      <c r="B655" t="s">
        <v>264</v>
      </c>
      <c r="C655" t="s">
        <v>137</v>
      </c>
      <c r="D655" t="s">
        <v>64</v>
      </c>
      <c r="E655" t="s">
        <v>745</v>
      </c>
      <c r="F655" s="13">
        <v>1</v>
      </c>
      <c r="G655" s="14">
        <v>579.39</v>
      </c>
      <c r="H655" s="13">
        <v>344</v>
      </c>
      <c r="I655" t="s">
        <v>77</v>
      </c>
    </row>
    <row r="656" spans="1:9" x14ac:dyDescent="0.3">
      <c r="A656">
        <v>6164</v>
      </c>
      <c r="B656" t="s">
        <v>202</v>
      </c>
      <c r="C656" t="s">
        <v>92</v>
      </c>
      <c r="D656" t="s">
        <v>64</v>
      </c>
      <c r="E656" t="s">
        <v>745</v>
      </c>
      <c r="F656" s="13">
        <v>1</v>
      </c>
      <c r="G656" s="14">
        <v>2452.2399999999998</v>
      </c>
      <c r="H656" s="13">
        <v>344</v>
      </c>
      <c r="I656" t="s">
        <v>77</v>
      </c>
    </row>
    <row r="657" spans="1:9" x14ac:dyDescent="0.3">
      <c r="A657">
        <v>7455</v>
      </c>
      <c r="B657" t="s">
        <v>747</v>
      </c>
      <c r="C657" t="s">
        <v>137</v>
      </c>
      <c r="D657" t="s">
        <v>64</v>
      </c>
      <c r="E657" t="s">
        <v>745</v>
      </c>
      <c r="F657" s="13">
        <v>1</v>
      </c>
      <c r="G657" s="14">
        <v>4462.1099999999997</v>
      </c>
      <c r="H657" s="13">
        <v>344</v>
      </c>
      <c r="I657" t="s">
        <v>77</v>
      </c>
    </row>
    <row r="658" spans="1:9" x14ac:dyDescent="0.3">
      <c r="A658">
        <v>3230</v>
      </c>
      <c r="B658" t="s">
        <v>748</v>
      </c>
      <c r="C658" t="s">
        <v>90</v>
      </c>
      <c r="D658" t="s">
        <v>66</v>
      </c>
      <c r="E658" t="s">
        <v>749</v>
      </c>
      <c r="F658" s="13">
        <v>2</v>
      </c>
      <c r="G658" s="14">
        <v>890.53</v>
      </c>
      <c r="H658" s="13">
        <v>343</v>
      </c>
      <c r="I658" t="s">
        <v>77</v>
      </c>
    </row>
    <row r="659" spans="1:9" x14ac:dyDescent="0.3">
      <c r="A659">
        <v>4588</v>
      </c>
      <c r="B659" t="s">
        <v>750</v>
      </c>
      <c r="C659" t="s">
        <v>249</v>
      </c>
      <c r="D659" t="s">
        <v>67</v>
      </c>
      <c r="E659" t="s">
        <v>749</v>
      </c>
      <c r="F659" s="13">
        <v>2</v>
      </c>
      <c r="G659" s="14">
        <v>1410.93</v>
      </c>
      <c r="H659" s="13">
        <v>343</v>
      </c>
      <c r="I659" t="s">
        <v>77</v>
      </c>
    </row>
    <row r="660" spans="1:9" x14ac:dyDescent="0.3">
      <c r="A660">
        <v>6719</v>
      </c>
      <c r="B660" t="s">
        <v>162</v>
      </c>
      <c r="C660" t="s">
        <v>114</v>
      </c>
      <c r="D660" t="s">
        <v>66</v>
      </c>
      <c r="E660" t="s">
        <v>749</v>
      </c>
      <c r="F660" s="13">
        <v>1</v>
      </c>
      <c r="G660" s="14">
        <v>1126.98</v>
      </c>
      <c r="H660" s="13">
        <v>343</v>
      </c>
      <c r="I660" t="s">
        <v>77</v>
      </c>
    </row>
    <row r="661" spans="1:9" x14ac:dyDescent="0.3">
      <c r="A661">
        <v>8169</v>
      </c>
      <c r="B661" t="s">
        <v>257</v>
      </c>
      <c r="C661" t="s">
        <v>114</v>
      </c>
      <c r="D661" t="s">
        <v>66</v>
      </c>
      <c r="E661" t="s">
        <v>749</v>
      </c>
      <c r="F661" s="13">
        <v>3</v>
      </c>
      <c r="G661" s="14">
        <v>1018.56</v>
      </c>
      <c r="H661" s="13">
        <v>343</v>
      </c>
      <c r="I661" t="s">
        <v>77</v>
      </c>
    </row>
    <row r="662" spans="1:9" x14ac:dyDescent="0.3">
      <c r="A662">
        <v>948</v>
      </c>
      <c r="B662" t="s">
        <v>751</v>
      </c>
      <c r="C662" t="s">
        <v>90</v>
      </c>
      <c r="D662" t="s">
        <v>66</v>
      </c>
      <c r="E662" t="s">
        <v>752</v>
      </c>
      <c r="F662" s="13">
        <v>1</v>
      </c>
      <c r="G662" s="14">
        <v>375.81</v>
      </c>
      <c r="H662" s="13">
        <v>342</v>
      </c>
      <c r="I662" t="s">
        <v>77</v>
      </c>
    </row>
    <row r="663" spans="1:9" x14ac:dyDescent="0.3">
      <c r="A663">
        <v>1337</v>
      </c>
      <c r="B663" t="s">
        <v>311</v>
      </c>
      <c r="C663" t="s">
        <v>97</v>
      </c>
      <c r="D663" t="s">
        <v>65</v>
      </c>
      <c r="E663" t="s">
        <v>752</v>
      </c>
      <c r="F663" s="13">
        <v>1</v>
      </c>
      <c r="G663" s="14">
        <v>3154.04</v>
      </c>
      <c r="H663" s="13">
        <v>342</v>
      </c>
      <c r="I663" t="s">
        <v>77</v>
      </c>
    </row>
    <row r="664" spans="1:9" x14ac:dyDescent="0.3">
      <c r="A664">
        <v>4062</v>
      </c>
      <c r="B664" t="s">
        <v>242</v>
      </c>
      <c r="C664" t="s">
        <v>133</v>
      </c>
      <c r="D664" t="s">
        <v>64</v>
      </c>
      <c r="E664" t="s">
        <v>752</v>
      </c>
      <c r="F664" s="13">
        <v>3</v>
      </c>
      <c r="G664" s="14">
        <v>5522.32</v>
      </c>
      <c r="H664" s="13">
        <v>342</v>
      </c>
      <c r="I664" t="s">
        <v>77</v>
      </c>
    </row>
    <row r="665" spans="1:9" x14ac:dyDescent="0.3">
      <c r="A665">
        <v>4156</v>
      </c>
      <c r="B665" t="s">
        <v>402</v>
      </c>
      <c r="C665" t="s">
        <v>137</v>
      </c>
      <c r="D665" t="s">
        <v>64</v>
      </c>
      <c r="E665" t="s">
        <v>752</v>
      </c>
      <c r="F665" s="13">
        <v>1</v>
      </c>
      <c r="G665" s="14">
        <v>825.51</v>
      </c>
      <c r="H665" s="13">
        <v>342</v>
      </c>
      <c r="I665" t="s">
        <v>77</v>
      </c>
    </row>
    <row r="666" spans="1:9" x14ac:dyDescent="0.3">
      <c r="A666">
        <v>4719</v>
      </c>
      <c r="B666" t="s">
        <v>753</v>
      </c>
      <c r="C666" t="s">
        <v>249</v>
      </c>
      <c r="D666" t="s">
        <v>67</v>
      </c>
      <c r="E666" t="s">
        <v>752</v>
      </c>
      <c r="F666" s="13">
        <v>1</v>
      </c>
      <c r="G666" s="14">
        <v>1533.44</v>
      </c>
      <c r="H666" s="13">
        <v>342</v>
      </c>
      <c r="I666" t="s">
        <v>77</v>
      </c>
    </row>
    <row r="667" spans="1:9" x14ac:dyDescent="0.3">
      <c r="A667">
        <v>5914</v>
      </c>
      <c r="B667" t="s">
        <v>754</v>
      </c>
      <c r="C667" t="s">
        <v>103</v>
      </c>
      <c r="D667" t="s">
        <v>67</v>
      </c>
      <c r="E667" t="s">
        <v>752</v>
      </c>
      <c r="F667" s="13">
        <v>1</v>
      </c>
      <c r="G667" s="14">
        <v>1253.1300000000001</v>
      </c>
      <c r="H667" s="13">
        <v>342</v>
      </c>
      <c r="I667" t="s">
        <v>77</v>
      </c>
    </row>
    <row r="668" spans="1:9" x14ac:dyDescent="0.3">
      <c r="A668">
        <v>6559</v>
      </c>
      <c r="B668" t="s">
        <v>755</v>
      </c>
      <c r="C668" t="s">
        <v>137</v>
      </c>
      <c r="D668" t="s">
        <v>64</v>
      </c>
      <c r="E668" t="s">
        <v>752</v>
      </c>
      <c r="F668" s="13">
        <v>2</v>
      </c>
      <c r="G668" s="14">
        <v>3821.56</v>
      </c>
      <c r="H668" s="13">
        <v>342</v>
      </c>
      <c r="I668" t="s">
        <v>77</v>
      </c>
    </row>
    <row r="669" spans="1:9" x14ac:dyDescent="0.3">
      <c r="A669">
        <v>7310</v>
      </c>
      <c r="B669" t="s">
        <v>756</v>
      </c>
      <c r="C669" t="s">
        <v>137</v>
      </c>
      <c r="D669" t="s">
        <v>64</v>
      </c>
      <c r="E669" t="s">
        <v>752</v>
      </c>
      <c r="F669" s="13">
        <v>2</v>
      </c>
      <c r="G669" s="14">
        <v>2396.4699999999998</v>
      </c>
      <c r="H669" s="13">
        <v>342</v>
      </c>
      <c r="I669" t="s">
        <v>77</v>
      </c>
    </row>
    <row r="670" spans="1:9" x14ac:dyDescent="0.3">
      <c r="A670">
        <v>232</v>
      </c>
      <c r="B670" t="s">
        <v>549</v>
      </c>
      <c r="C670" t="s">
        <v>95</v>
      </c>
      <c r="D670" t="s">
        <v>65</v>
      </c>
      <c r="E670" t="s">
        <v>757</v>
      </c>
      <c r="F670" s="13">
        <v>2</v>
      </c>
      <c r="G670" s="14">
        <v>6958.96</v>
      </c>
      <c r="H670" s="13">
        <v>341</v>
      </c>
      <c r="I670" t="s">
        <v>77</v>
      </c>
    </row>
    <row r="671" spans="1:9" x14ac:dyDescent="0.3">
      <c r="A671">
        <v>403</v>
      </c>
      <c r="B671" t="s">
        <v>758</v>
      </c>
      <c r="C671" t="s">
        <v>92</v>
      </c>
      <c r="D671" t="s">
        <v>64</v>
      </c>
      <c r="E671" t="s">
        <v>757</v>
      </c>
      <c r="F671" s="13">
        <v>3</v>
      </c>
      <c r="G671" s="14">
        <v>1393.93</v>
      </c>
      <c r="H671" s="13">
        <v>341</v>
      </c>
      <c r="I671" t="s">
        <v>77</v>
      </c>
    </row>
    <row r="672" spans="1:9" x14ac:dyDescent="0.3">
      <c r="A672">
        <v>1131</v>
      </c>
      <c r="B672" t="s">
        <v>325</v>
      </c>
      <c r="C672" t="s">
        <v>121</v>
      </c>
      <c r="D672" t="s">
        <v>67</v>
      </c>
      <c r="E672" t="s">
        <v>757</v>
      </c>
      <c r="F672" s="13">
        <v>1</v>
      </c>
      <c r="G672" s="14">
        <v>510.1</v>
      </c>
      <c r="H672" s="13">
        <v>341</v>
      </c>
      <c r="I672" t="s">
        <v>77</v>
      </c>
    </row>
    <row r="673" spans="1:9" x14ac:dyDescent="0.3">
      <c r="A673">
        <v>1278</v>
      </c>
      <c r="B673" t="s">
        <v>759</v>
      </c>
      <c r="C673" t="s">
        <v>123</v>
      </c>
      <c r="D673" t="s">
        <v>65</v>
      </c>
      <c r="E673" t="s">
        <v>757</v>
      </c>
      <c r="F673" s="13">
        <v>2</v>
      </c>
      <c r="G673" s="14">
        <v>913.09</v>
      </c>
      <c r="H673" s="13">
        <v>341</v>
      </c>
      <c r="I673" t="s">
        <v>77</v>
      </c>
    </row>
    <row r="674" spans="1:9" x14ac:dyDescent="0.3">
      <c r="A674">
        <v>1351</v>
      </c>
      <c r="B674" t="s">
        <v>532</v>
      </c>
      <c r="C674" t="s">
        <v>92</v>
      </c>
      <c r="D674" t="s">
        <v>64</v>
      </c>
      <c r="E674" t="s">
        <v>757</v>
      </c>
      <c r="F674" s="13">
        <v>2</v>
      </c>
      <c r="G674" s="14">
        <v>6504.48</v>
      </c>
      <c r="H674" s="13">
        <v>341</v>
      </c>
      <c r="I674" t="s">
        <v>77</v>
      </c>
    </row>
    <row r="675" spans="1:9" x14ac:dyDescent="0.3">
      <c r="A675">
        <v>4608</v>
      </c>
      <c r="B675" t="s">
        <v>404</v>
      </c>
      <c r="C675" t="s">
        <v>114</v>
      </c>
      <c r="D675" t="s">
        <v>66</v>
      </c>
      <c r="E675" t="s">
        <v>757</v>
      </c>
      <c r="F675" s="13">
        <v>4</v>
      </c>
      <c r="G675" s="14">
        <v>8458.64</v>
      </c>
      <c r="H675" s="13">
        <v>341</v>
      </c>
      <c r="I675" t="s">
        <v>77</v>
      </c>
    </row>
    <row r="676" spans="1:9" x14ac:dyDescent="0.3">
      <c r="A676">
        <v>5344</v>
      </c>
      <c r="B676" t="s">
        <v>353</v>
      </c>
      <c r="C676" t="s">
        <v>92</v>
      </c>
      <c r="D676" t="s">
        <v>64</v>
      </c>
      <c r="E676" t="s">
        <v>757</v>
      </c>
      <c r="F676" s="13">
        <v>3</v>
      </c>
      <c r="G676" s="14">
        <v>3602.19</v>
      </c>
      <c r="H676" s="13">
        <v>341</v>
      </c>
      <c r="I676" t="s">
        <v>77</v>
      </c>
    </row>
    <row r="677" spans="1:9" x14ac:dyDescent="0.3">
      <c r="A677">
        <v>5364</v>
      </c>
      <c r="B677" t="s">
        <v>414</v>
      </c>
      <c r="C677" t="s">
        <v>92</v>
      </c>
      <c r="D677" t="s">
        <v>64</v>
      </c>
      <c r="E677" t="s">
        <v>757</v>
      </c>
      <c r="F677" s="13">
        <v>2</v>
      </c>
      <c r="G677" s="14">
        <v>1699.04</v>
      </c>
      <c r="H677" s="13">
        <v>341</v>
      </c>
      <c r="I677" t="s">
        <v>77</v>
      </c>
    </row>
    <row r="678" spans="1:9" x14ac:dyDescent="0.3">
      <c r="A678">
        <v>7006</v>
      </c>
      <c r="B678" t="s">
        <v>760</v>
      </c>
      <c r="C678" t="s">
        <v>137</v>
      </c>
      <c r="D678" t="s">
        <v>64</v>
      </c>
      <c r="E678" t="s">
        <v>757</v>
      </c>
      <c r="F678" s="13">
        <v>1</v>
      </c>
      <c r="G678" s="14">
        <v>1083.75</v>
      </c>
      <c r="H678" s="13">
        <v>341</v>
      </c>
      <c r="I678" t="s">
        <v>77</v>
      </c>
    </row>
    <row r="679" spans="1:9" x14ac:dyDescent="0.3">
      <c r="A679">
        <v>1813</v>
      </c>
      <c r="B679" t="s">
        <v>494</v>
      </c>
      <c r="C679" t="s">
        <v>97</v>
      </c>
      <c r="D679" t="s">
        <v>65</v>
      </c>
      <c r="E679" t="s">
        <v>761</v>
      </c>
      <c r="F679" s="13">
        <v>2</v>
      </c>
      <c r="G679" s="14">
        <v>3909.22</v>
      </c>
      <c r="H679" s="13">
        <v>340</v>
      </c>
      <c r="I679" t="s">
        <v>77</v>
      </c>
    </row>
    <row r="680" spans="1:9" x14ac:dyDescent="0.3">
      <c r="A680">
        <v>4538</v>
      </c>
      <c r="B680" t="s">
        <v>762</v>
      </c>
      <c r="C680" t="s">
        <v>92</v>
      </c>
      <c r="D680" t="s">
        <v>64</v>
      </c>
      <c r="E680" t="s">
        <v>761</v>
      </c>
      <c r="F680" s="13">
        <v>1</v>
      </c>
      <c r="G680" s="14">
        <v>5918.56</v>
      </c>
      <c r="H680" s="13">
        <v>340</v>
      </c>
      <c r="I680" t="s">
        <v>77</v>
      </c>
    </row>
    <row r="681" spans="1:9" x14ac:dyDescent="0.3">
      <c r="A681">
        <v>5600</v>
      </c>
      <c r="B681" t="s">
        <v>763</v>
      </c>
      <c r="C681" t="s">
        <v>114</v>
      </c>
      <c r="D681" t="s">
        <v>66</v>
      </c>
      <c r="E681" t="s">
        <v>761</v>
      </c>
      <c r="F681" s="13">
        <v>1</v>
      </c>
      <c r="G681" s="14">
        <v>3252.46</v>
      </c>
      <c r="H681" s="13">
        <v>340</v>
      </c>
      <c r="I681" t="s">
        <v>77</v>
      </c>
    </row>
    <row r="682" spans="1:9" x14ac:dyDescent="0.3">
      <c r="A682">
        <v>5870</v>
      </c>
      <c r="B682" t="s">
        <v>153</v>
      </c>
      <c r="C682" t="s">
        <v>249</v>
      </c>
      <c r="D682" t="s">
        <v>67</v>
      </c>
      <c r="E682" t="s">
        <v>761</v>
      </c>
      <c r="F682" s="13">
        <v>3</v>
      </c>
      <c r="G682" s="14">
        <v>4627.91</v>
      </c>
      <c r="H682" s="13">
        <v>340</v>
      </c>
      <c r="I682" t="s">
        <v>77</v>
      </c>
    </row>
    <row r="683" spans="1:9" x14ac:dyDescent="0.3">
      <c r="A683">
        <v>8310</v>
      </c>
      <c r="B683" t="s">
        <v>297</v>
      </c>
      <c r="C683" t="s">
        <v>90</v>
      </c>
      <c r="D683" t="s">
        <v>66</v>
      </c>
      <c r="E683" t="s">
        <v>761</v>
      </c>
      <c r="F683" s="13">
        <v>1</v>
      </c>
      <c r="G683" s="14">
        <v>2236.91</v>
      </c>
      <c r="H683" s="13">
        <v>340</v>
      </c>
      <c r="I683" t="s">
        <v>77</v>
      </c>
    </row>
    <row r="684" spans="1:9" x14ac:dyDescent="0.3">
      <c r="A684">
        <v>779</v>
      </c>
      <c r="B684" t="s">
        <v>364</v>
      </c>
      <c r="C684" t="s">
        <v>103</v>
      </c>
      <c r="D684" t="s">
        <v>67</v>
      </c>
      <c r="E684" t="s">
        <v>764</v>
      </c>
      <c r="F684" s="13">
        <v>2</v>
      </c>
      <c r="G684" s="14">
        <v>6429.42</v>
      </c>
      <c r="H684" s="13">
        <v>339</v>
      </c>
      <c r="I684" t="s">
        <v>77</v>
      </c>
    </row>
    <row r="685" spans="1:9" x14ac:dyDescent="0.3">
      <c r="A685">
        <v>1992</v>
      </c>
      <c r="B685" t="s">
        <v>423</v>
      </c>
      <c r="C685" t="s">
        <v>92</v>
      </c>
      <c r="D685" t="s">
        <v>64</v>
      </c>
      <c r="E685" t="s">
        <v>764</v>
      </c>
      <c r="F685" s="13">
        <v>3</v>
      </c>
      <c r="G685" s="14">
        <v>6029.31</v>
      </c>
      <c r="H685" s="13">
        <v>339</v>
      </c>
      <c r="I685" t="s">
        <v>77</v>
      </c>
    </row>
    <row r="686" spans="1:9" x14ac:dyDescent="0.3">
      <c r="A686">
        <v>6575</v>
      </c>
      <c r="B686" t="s">
        <v>553</v>
      </c>
      <c r="C686" t="s">
        <v>87</v>
      </c>
      <c r="D686" t="s">
        <v>64</v>
      </c>
      <c r="E686" t="s">
        <v>764</v>
      </c>
      <c r="F686" s="13">
        <v>1</v>
      </c>
      <c r="G686" s="14">
        <v>540.35</v>
      </c>
      <c r="H686" s="13">
        <v>339</v>
      </c>
      <c r="I686" t="s">
        <v>77</v>
      </c>
    </row>
    <row r="687" spans="1:9" x14ac:dyDescent="0.3">
      <c r="A687">
        <v>8563</v>
      </c>
      <c r="B687" t="s">
        <v>765</v>
      </c>
      <c r="C687" t="s">
        <v>92</v>
      </c>
      <c r="D687" t="s">
        <v>64</v>
      </c>
      <c r="E687" t="s">
        <v>764</v>
      </c>
      <c r="F687" s="13">
        <v>2</v>
      </c>
      <c r="G687" s="14">
        <v>4769.8100000000004</v>
      </c>
      <c r="H687" s="13">
        <v>339</v>
      </c>
      <c r="I687" t="s">
        <v>77</v>
      </c>
    </row>
    <row r="688" spans="1:9" x14ac:dyDescent="0.3">
      <c r="A688">
        <v>222</v>
      </c>
      <c r="B688" t="s">
        <v>766</v>
      </c>
      <c r="C688" t="s">
        <v>97</v>
      </c>
      <c r="D688" t="s">
        <v>65</v>
      </c>
      <c r="E688" t="s">
        <v>767</v>
      </c>
      <c r="F688" s="13">
        <v>1</v>
      </c>
      <c r="G688" s="14">
        <v>4616.6000000000004</v>
      </c>
      <c r="H688" s="13">
        <v>338</v>
      </c>
      <c r="I688" t="s">
        <v>77</v>
      </c>
    </row>
    <row r="689" spans="1:9" x14ac:dyDescent="0.3">
      <c r="A689">
        <v>4552</v>
      </c>
      <c r="B689" t="s">
        <v>768</v>
      </c>
      <c r="C689" t="s">
        <v>95</v>
      </c>
      <c r="D689" t="s">
        <v>65</v>
      </c>
      <c r="E689" t="s">
        <v>767</v>
      </c>
      <c r="F689" s="13">
        <v>1</v>
      </c>
      <c r="G689" s="14">
        <v>86.86</v>
      </c>
      <c r="H689" s="13">
        <v>338</v>
      </c>
      <c r="I689" t="s">
        <v>77</v>
      </c>
    </row>
    <row r="690" spans="1:9" x14ac:dyDescent="0.3">
      <c r="A690">
        <v>5796</v>
      </c>
      <c r="B690" t="s">
        <v>769</v>
      </c>
      <c r="C690" t="s">
        <v>92</v>
      </c>
      <c r="D690" t="s">
        <v>64</v>
      </c>
      <c r="E690" t="s">
        <v>767</v>
      </c>
      <c r="F690" s="13">
        <v>1</v>
      </c>
      <c r="G690" s="14">
        <v>3661.58</v>
      </c>
      <c r="H690" s="13">
        <v>338</v>
      </c>
      <c r="I690" t="s">
        <v>77</v>
      </c>
    </row>
    <row r="691" spans="1:9" x14ac:dyDescent="0.3">
      <c r="A691">
        <v>7444</v>
      </c>
      <c r="B691" t="s">
        <v>770</v>
      </c>
      <c r="C691" t="s">
        <v>95</v>
      </c>
      <c r="D691" t="s">
        <v>65</v>
      </c>
      <c r="E691" t="s">
        <v>767</v>
      </c>
      <c r="F691" s="13">
        <v>1</v>
      </c>
      <c r="G691" s="14">
        <v>519.65</v>
      </c>
      <c r="H691" s="13">
        <v>338</v>
      </c>
      <c r="I691" t="s">
        <v>77</v>
      </c>
    </row>
    <row r="692" spans="1:9" x14ac:dyDescent="0.3">
      <c r="A692">
        <v>8686</v>
      </c>
      <c r="B692" t="s">
        <v>509</v>
      </c>
      <c r="C692" t="s">
        <v>137</v>
      </c>
      <c r="D692" t="s">
        <v>64</v>
      </c>
      <c r="E692" t="s">
        <v>767</v>
      </c>
      <c r="F692" s="13">
        <v>3</v>
      </c>
      <c r="G692" s="14">
        <v>15897.36</v>
      </c>
      <c r="H692" s="13">
        <v>338</v>
      </c>
      <c r="I692" t="s">
        <v>77</v>
      </c>
    </row>
    <row r="693" spans="1:9" x14ac:dyDescent="0.3">
      <c r="A693">
        <v>8774</v>
      </c>
      <c r="B693" t="s">
        <v>353</v>
      </c>
      <c r="C693" t="s">
        <v>97</v>
      </c>
      <c r="D693" t="s">
        <v>65</v>
      </c>
      <c r="E693" t="s">
        <v>767</v>
      </c>
      <c r="F693" s="13">
        <v>3</v>
      </c>
      <c r="G693" s="14">
        <v>3881.77</v>
      </c>
      <c r="H693" s="13">
        <v>338</v>
      </c>
      <c r="I693" t="s">
        <v>77</v>
      </c>
    </row>
    <row r="694" spans="1:9" x14ac:dyDescent="0.3">
      <c r="A694">
        <v>8966</v>
      </c>
      <c r="B694" t="s">
        <v>771</v>
      </c>
      <c r="C694" t="s">
        <v>100</v>
      </c>
      <c r="D694" t="s">
        <v>66</v>
      </c>
      <c r="E694" t="s">
        <v>767</v>
      </c>
      <c r="F694" s="13">
        <v>2</v>
      </c>
      <c r="G694" s="14">
        <v>2753.53</v>
      </c>
      <c r="H694" s="13">
        <v>338</v>
      </c>
      <c r="I694" t="s">
        <v>77</v>
      </c>
    </row>
    <row r="695" spans="1:9" x14ac:dyDescent="0.3">
      <c r="A695">
        <v>292</v>
      </c>
      <c r="B695" t="s">
        <v>772</v>
      </c>
      <c r="C695" t="s">
        <v>90</v>
      </c>
      <c r="D695" t="s">
        <v>66</v>
      </c>
      <c r="E695" t="s">
        <v>773</v>
      </c>
      <c r="F695" s="13">
        <v>1</v>
      </c>
      <c r="G695" s="14">
        <v>350.2</v>
      </c>
      <c r="H695" s="13">
        <v>337</v>
      </c>
      <c r="I695" t="s">
        <v>77</v>
      </c>
    </row>
    <row r="696" spans="1:9" x14ac:dyDescent="0.3">
      <c r="A696">
        <v>1747</v>
      </c>
      <c r="B696" t="s">
        <v>259</v>
      </c>
      <c r="C696" t="s">
        <v>92</v>
      </c>
      <c r="D696" t="s">
        <v>64</v>
      </c>
      <c r="E696" t="s">
        <v>773</v>
      </c>
      <c r="F696" s="13">
        <v>3</v>
      </c>
      <c r="G696" s="14">
        <v>4202.8</v>
      </c>
      <c r="H696" s="13">
        <v>337</v>
      </c>
      <c r="I696" t="s">
        <v>77</v>
      </c>
    </row>
    <row r="697" spans="1:9" x14ac:dyDescent="0.3">
      <c r="A697">
        <v>1793</v>
      </c>
      <c r="B697" t="s">
        <v>774</v>
      </c>
      <c r="C697" t="s">
        <v>92</v>
      </c>
      <c r="D697" t="s">
        <v>64</v>
      </c>
      <c r="E697" t="s">
        <v>773</v>
      </c>
      <c r="F697" s="13">
        <v>2</v>
      </c>
      <c r="G697" s="14">
        <v>9715.94</v>
      </c>
      <c r="H697" s="13">
        <v>337</v>
      </c>
      <c r="I697" t="s">
        <v>77</v>
      </c>
    </row>
    <row r="698" spans="1:9" x14ac:dyDescent="0.3">
      <c r="A698">
        <v>2450</v>
      </c>
      <c r="B698" t="s">
        <v>775</v>
      </c>
      <c r="C698" t="s">
        <v>92</v>
      </c>
      <c r="D698" t="s">
        <v>64</v>
      </c>
      <c r="E698" t="s">
        <v>773</v>
      </c>
      <c r="F698" s="13">
        <v>2</v>
      </c>
      <c r="G698" s="14">
        <v>2617.39</v>
      </c>
      <c r="H698" s="13">
        <v>337</v>
      </c>
      <c r="I698" t="s">
        <v>77</v>
      </c>
    </row>
    <row r="699" spans="1:9" x14ac:dyDescent="0.3">
      <c r="A699">
        <v>7199</v>
      </c>
      <c r="B699" t="s">
        <v>167</v>
      </c>
      <c r="C699" t="s">
        <v>92</v>
      </c>
      <c r="D699" t="s">
        <v>64</v>
      </c>
      <c r="E699" t="s">
        <v>773</v>
      </c>
      <c r="F699" s="13">
        <v>1</v>
      </c>
      <c r="G699" s="14">
        <v>537.25</v>
      </c>
      <c r="H699" s="13">
        <v>337</v>
      </c>
      <c r="I699" t="s">
        <v>77</v>
      </c>
    </row>
    <row r="700" spans="1:9" x14ac:dyDescent="0.3">
      <c r="A700">
        <v>7551</v>
      </c>
      <c r="B700" t="s">
        <v>509</v>
      </c>
      <c r="C700" t="s">
        <v>137</v>
      </c>
      <c r="D700" t="s">
        <v>64</v>
      </c>
      <c r="E700" t="s">
        <v>773</v>
      </c>
      <c r="F700" s="13">
        <v>2</v>
      </c>
      <c r="G700" s="14">
        <v>10961.83</v>
      </c>
      <c r="H700" s="13">
        <v>337</v>
      </c>
      <c r="I700" t="s">
        <v>77</v>
      </c>
    </row>
    <row r="701" spans="1:9" x14ac:dyDescent="0.3">
      <c r="A701">
        <v>7876</v>
      </c>
      <c r="B701" t="s">
        <v>776</v>
      </c>
      <c r="C701" t="s">
        <v>114</v>
      </c>
      <c r="D701" t="s">
        <v>66</v>
      </c>
      <c r="E701" t="s">
        <v>773</v>
      </c>
      <c r="F701" s="13">
        <v>1</v>
      </c>
      <c r="G701" s="14">
        <v>4871.47</v>
      </c>
      <c r="H701" s="13">
        <v>337</v>
      </c>
      <c r="I701" t="s">
        <v>77</v>
      </c>
    </row>
    <row r="702" spans="1:9" x14ac:dyDescent="0.3">
      <c r="A702">
        <v>782</v>
      </c>
      <c r="B702" t="s">
        <v>777</v>
      </c>
      <c r="C702" t="s">
        <v>90</v>
      </c>
      <c r="D702" t="s">
        <v>66</v>
      </c>
      <c r="E702" t="s">
        <v>778</v>
      </c>
      <c r="F702" s="13">
        <v>1</v>
      </c>
      <c r="G702" s="14">
        <v>7304.94</v>
      </c>
      <c r="H702" s="13">
        <v>336</v>
      </c>
      <c r="I702" t="s">
        <v>77</v>
      </c>
    </row>
    <row r="703" spans="1:9" x14ac:dyDescent="0.3">
      <c r="A703">
        <v>2212</v>
      </c>
      <c r="B703" t="s">
        <v>321</v>
      </c>
      <c r="C703" t="s">
        <v>95</v>
      </c>
      <c r="D703" t="s">
        <v>65</v>
      </c>
      <c r="E703" t="s">
        <v>778</v>
      </c>
      <c r="F703" s="13">
        <v>2</v>
      </c>
      <c r="G703" s="14">
        <v>4432.82</v>
      </c>
      <c r="H703" s="13">
        <v>336</v>
      </c>
      <c r="I703" t="s">
        <v>77</v>
      </c>
    </row>
    <row r="704" spans="1:9" x14ac:dyDescent="0.3">
      <c r="A704">
        <v>2423</v>
      </c>
      <c r="B704" t="s">
        <v>519</v>
      </c>
      <c r="C704" t="s">
        <v>92</v>
      </c>
      <c r="D704" t="s">
        <v>64</v>
      </c>
      <c r="E704" t="s">
        <v>778</v>
      </c>
      <c r="F704" s="13">
        <v>2</v>
      </c>
      <c r="G704" s="14">
        <v>3239.11</v>
      </c>
      <c r="H704" s="13">
        <v>336</v>
      </c>
      <c r="I704" t="s">
        <v>77</v>
      </c>
    </row>
    <row r="705" spans="1:9" x14ac:dyDescent="0.3">
      <c r="A705">
        <v>4625</v>
      </c>
      <c r="B705" t="s">
        <v>779</v>
      </c>
      <c r="C705" t="s">
        <v>97</v>
      </c>
      <c r="D705" t="s">
        <v>65</v>
      </c>
      <c r="E705" t="s">
        <v>778</v>
      </c>
      <c r="F705" s="13">
        <v>1</v>
      </c>
      <c r="G705" s="14">
        <v>683.31</v>
      </c>
      <c r="H705" s="13">
        <v>336</v>
      </c>
      <c r="I705" t="s">
        <v>77</v>
      </c>
    </row>
    <row r="706" spans="1:9" x14ac:dyDescent="0.3">
      <c r="A706">
        <v>5047</v>
      </c>
      <c r="B706" t="s">
        <v>293</v>
      </c>
      <c r="C706" t="s">
        <v>92</v>
      </c>
      <c r="D706" t="s">
        <v>64</v>
      </c>
      <c r="E706" t="s">
        <v>778</v>
      </c>
      <c r="F706" s="13">
        <v>1</v>
      </c>
      <c r="G706" s="14">
        <v>1931.94</v>
      </c>
      <c r="H706" s="13">
        <v>336</v>
      </c>
      <c r="I706" t="s">
        <v>77</v>
      </c>
    </row>
    <row r="707" spans="1:9" x14ac:dyDescent="0.3">
      <c r="A707">
        <v>5178</v>
      </c>
      <c r="B707" t="s">
        <v>636</v>
      </c>
      <c r="C707" t="s">
        <v>95</v>
      </c>
      <c r="D707" t="s">
        <v>65</v>
      </c>
      <c r="E707" t="s">
        <v>778</v>
      </c>
      <c r="F707" s="13">
        <v>1</v>
      </c>
      <c r="G707" s="14">
        <v>422.03</v>
      </c>
      <c r="H707" s="13">
        <v>336</v>
      </c>
      <c r="I707" t="s">
        <v>77</v>
      </c>
    </row>
    <row r="708" spans="1:9" x14ac:dyDescent="0.3">
      <c r="A708">
        <v>5450</v>
      </c>
      <c r="B708" t="s">
        <v>780</v>
      </c>
      <c r="C708" t="s">
        <v>137</v>
      </c>
      <c r="D708" t="s">
        <v>64</v>
      </c>
      <c r="E708" t="s">
        <v>778</v>
      </c>
      <c r="F708" s="13">
        <v>2</v>
      </c>
      <c r="G708" s="14">
        <v>8294.5400000000009</v>
      </c>
      <c r="H708" s="13">
        <v>336</v>
      </c>
      <c r="I708" t="s">
        <v>77</v>
      </c>
    </row>
    <row r="709" spans="1:9" x14ac:dyDescent="0.3">
      <c r="A709">
        <v>7138</v>
      </c>
      <c r="B709" t="s">
        <v>781</v>
      </c>
      <c r="C709" t="s">
        <v>114</v>
      </c>
      <c r="D709" t="s">
        <v>66</v>
      </c>
      <c r="E709" t="s">
        <v>778</v>
      </c>
      <c r="F709" s="13">
        <v>1</v>
      </c>
      <c r="G709" s="14">
        <v>426.84</v>
      </c>
      <c r="H709" s="13">
        <v>336</v>
      </c>
      <c r="I709" t="s">
        <v>77</v>
      </c>
    </row>
    <row r="710" spans="1:9" x14ac:dyDescent="0.3">
      <c r="A710">
        <v>7846</v>
      </c>
      <c r="B710" t="s">
        <v>782</v>
      </c>
      <c r="C710" t="s">
        <v>114</v>
      </c>
      <c r="D710" t="s">
        <v>66</v>
      </c>
      <c r="E710" t="s">
        <v>778</v>
      </c>
      <c r="F710" s="13">
        <v>4</v>
      </c>
      <c r="G710" s="14">
        <v>8903.9599999999991</v>
      </c>
      <c r="H710" s="13">
        <v>336</v>
      </c>
      <c r="I710" t="s">
        <v>77</v>
      </c>
    </row>
    <row r="711" spans="1:9" x14ac:dyDescent="0.3">
      <c r="A711">
        <v>8592</v>
      </c>
      <c r="B711" t="s">
        <v>353</v>
      </c>
      <c r="C711" t="s">
        <v>92</v>
      </c>
      <c r="D711" t="s">
        <v>64</v>
      </c>
      <c r="E711" t="s">
        <v>778</v>
      </c>
      <c r="F711" s="13">
        <v>1</v>
      </c>
      <c r="G711" s="14">
        <v>2703.62</v>
      </c>
      <c r="H711" s="13">
        <v>336</v>
      </c>
      <c r="I711" t="s">
        <v>77</v>
      </c>
    </row>
    <row r="712" spans="1:9" x14ac:dyDescent="0.3">
      <c r="A712">
        <v>8936</v>
      </c>
      <c r="B712" t="s">
        <v>277</v>
      </c>
      <c r="C712" t="s">
        <v>92</v>
      </c>
      <c r="D712" t="s">
        <v>64</v>
      </c>
      <c r="E712" t="s">
        <v>778</v>
      </c>
      <c r="F712" s="13">
        <v>2</v>
      </c>
      <c r="G712" s="14">
        <v>623.64</v>
      </c>
      <c r="H712" s="13">
        <v>336</v>
      </c>
      <c r="I712" t="s">
        <v>77</v>
      </c>
    </row>
    <row r="713" spans="1:9" x14ac:dyDescent="0.3">
      <c r="A713">
        <v>660</v>
      </c>
      <c r="B713" t="s">
        <v>756</v>
      </c>
      <c r="C713" t="s">
        <v>121</v>
      </c>
      <c r="D713" t="s">
        <v>67</v>
      </c>
      <c r="E713" t="s">
        <v>783</v>
      </c>
      <c r="F713" s="13">
        <v>3</v>
      </c>
      <c r="G713" s="14">
        <v>1375.22</v>
      </c>
      <c r="H713" s="13">
        <v>335</v>
      </c>
      <c r="I713" t="s">
        <v>77</v>
      </c>
    </row>
    <row r="714" spans="1:9" x14ac:dyDescent="0.3">
      <c r="A714">
        <v>2006</v>
      </c>
      <c r="B714" t="s">
        <v>588</v>
      </c>
      <c r="C714" t="s">
        <v>97</v>
      </c>
      <c r="D714" t="s">
        <v>65</v>
      </c>
      <c r="E714" t="s">
        <v>783</v>
      </c>
      <c r="F714" s="13">
        <v>2</v>
      </c>
      <c r="G714" s="14">
        <v>4170.5600000000004</v>
      </c>
      <c r="H714" s="13">
        <v>335</v>
      </c>
      <c r="I714" t="s">
        <v>77</v>
      </c>
    </row>
    <row r="715" spans="1:9" x14ac:dyDescent="0.3">
      <c r="A715">
        <v>5866</v>
      </c>
      <c r="B715" t="s">
        <v>784</v>
      </c>
      <c r="C715" t="s">
        <v>92</v>
      </c>
      <c r="D715" t="s">
        <v>64</v>
      </c>
      <c r="E715" t="s">
        <v>783</v>
      </c>
      <c r="F715" s="13">
        <v>2</v>
      </c>
      <c r="G715" s="14">
        <v>2377.9</v>
      </c>
      <c r="H715" s="13">
        <v>335</v>
      </c>
      <c r="I715" t="s">
        <v>77</v>
      </c>
    </row>
    <row r="716" spans="1:9" x14ac:dyDescent="0.3">
      <c r="A716">
        <v>5910</v>
      </c>
      <c r="B716" t="s">
        <v>785</v>
      </c>
      <c r="C716" t="s">
        <v>133</v>
      </c>
      <c r="D716" t="s">
        <v>64</v>
      </c>
      <c r="E716" t="s">
        <v>783</v>
      </c>
      <c r="F716" s="13">
        <v>2</v>
      </c>
      <c r="G716" s="14">
        <v>1905.22</v>
      </c>
      <c r="H716" s="13">
        <v>335</v>
      </c>
      <c r="I716" t="s">
        <v>77</v>
      </c>
    </row>
    <row r="717" spans="1:9" x14ac:dyDescent="0.3">
      <c r="A717">
        <v>7050</v>
      </c>
      <c r="B717" t="s">
        <v>786</v>
      </c>
      <c r="C717" t="s">
        <v>114</v>
      </c>
      <c r="D717" t="s">
        <v>66</v>
      </c>
      <c r="E717" t="s">
        <v>783</v>
      </c>
      <c r="F717" s="13">
        <v>1</v>
      </c>
      <c r="G717" s="14">
        <v>920.08</v>
      </c>
      <c r="H717" s="13">
        <v>335</v>
      </c>
      <c r="I717" t="s">
        <v>77</v>
      </c>
    </row>
    <row r="718" spans="1:9" x14ac:dyDescent="0.3">
      <c r="A718">
        <v>8095</v>
      </c>
      <c r="B718" t="s">
        <v>297</v>
      </c>
      <c r="C718" t="s">
        <v>92</v>
      </c>
      <c r="D718" t="s">
        <v>64</v>
      </c>
      <c r="E718" t="s">
        <v>783</v>
      </c>
      <c r="F718" s="13">
        <v>2</v>
      </c>
      <c r="G718" s="14">
        <v>2521.29</v>
      </c>
      <c r="H718" s="13">
        <v>335</v>
      </c>
      <c r="I718" t="s">
        <v>77</v>
      </c>
    </row>
    <row r="719" spans="1:9" x14ac:dyDescent="0.3">
      <c r="A719">
        <v>505</v>
      </c>
      <c r="B719" t="s">
        <v>747</v>
      </c>
      <c r="C719" t="s">
        <v>95</v>
      </c>
      <c r="D719" t="s">
        <v>65</v>
      </c>
      <c r="E719" t="s">
        <v>787</v>
      </c>
      <c r="F719" s="13">
        <v>2</v>
      </c>
      <c r="G719" s="14">
        <v>2793.16</v>
      </c>
      <c r="H719" s="13">
        <v>334</v>
      </c>
      <c r="I719" t="s">
        <v>77</v>
      </c>
    </row>
    <row r="720" spans="1:9" x14ac:dyDescent="0.3">
      <c r="A720">
        <v>2535</v>
      </c>
      <c r="B720" t="s">
        <v>788</v>
      </c>
      <c r="C720" t="s">
        <v>92</v>
      </c>
      <c r="D720" t="s">
        <v>64</v>
      </c>
      <c r="E720" t="s">
        <v>787</v>
      </c>
      <c r="F720" s="13">
        <v>4</v>
      </c>
      <c r="G720" s="14">
        <v>4557.99</v>
      </c>
      <c r="H720" s="13">
        <v>334</v>
      </c>
      <c r="I720" t="s">
        <v>77</v>
      </c>
    </row>
    <row r="721" spans="1:9" x14ac:dyDescent="0.3">
      <c r="A721">
        <v>3350</v>
      </c>
      <c r="B721" t="s">
        <v>789</v>
      </c>
      <c r="C721" t="s">
        <v>92</v>
      </c>
      <c r="D721" t="s">
        <v>64</v>
      </c>
      <c r="E721" t="s">
        <v>787</v>
      </c>
      <c r="F721" s="13">
        <v>2</v>
      </c>
      <c r="G721" s="14">
        <v>3614.05</v>
      </c>
      <c r="H721" s="13">
        <v>334</v>
      </c>
      <c r="I721" t="s">
        <v>77</v>
      </c>
    </row>
    <row r="722" spans="1:9" x14ac:dyDescent="0.3">
      <c r="A722">
        <v>5039</v>
      </c>
      <c r="B722" t="s">
        <v>668</v>
      </c>
      <c r="C722" t="s">
        <v>92</v>
      </c>
      <c r="D722" t="s">
        <v>64</v>
      </c>
      <c r="E722" t="s">
        <v>787</v>
      </c>
      <c r="F722" s="13">
        <v>1</v>
      </c>
      <c r="G722" s="14">
        <v>1410.03</v>
      </c>
      <c r="H722" s="13">
        <v>334</v>
      </c>
      <c r="I722" t="s">
        <v>77</v>
      </c>
    </row>
    <row r="723" spans="1:9" x14ac:dyDescent="0.3">
      <c r="A723">
        <v>2196</v>
      </c>
      <c r="B723" t="s">
        <v>790</v>
      </c>
      <c r="C723" t="s">
        <v>114</v>
      </c>
      <c r="D723" t="s">
        <v>66</v>
      </c>
      <c r="E723" t="s">
        <v>791</v>
      </c>
      <c r="F723" s="13">
        <v>2</v>
      </c>
      <c r="G723" s="14">
        <v>3078.11</v>
      </c>
      <c r="H723" s="13">
        <v>333</v>
      </c>
      <c r="I723" t="s">
        <v>77</v>
      </c>
    </row>
    <row r="724" spans="1:9" x14ac:dyDescent="0.3">
      <c r="A724">
        <v>5590</v>
      </c>
      <c r="B724" t="s">
        <v>318</v>
      </c>
      <c r="C724" t="s">
        <v>95</v>
      </c>
      <c r="D724" t="s">
        <v>65</v>
      </c>
      <c r="E724" t="s">
        <v>791</v>
      </c>
      <c r="F724" s="13">
        <v>2</v>
      </c>
      <c r="G724" s="14">
        <v>1060.49</v>
      </c>
      <c r="H724" s="13">
        <v>333</v>
      </c>
      <c r="I724" t="s">
        <v>77</v>
      </c>
    </row>
    <row r="725" spans="1:9" x14ac:dyDescent="0.3">
      <c r="A725">
        <v>6373</v>
      </c>
      <c r="B725" t="s">
        <v>286</v>
      </c>
      <c r="C725" t="s">
        <v>137</v>
      </c>
      <c r="D725" t="s">
        <v>64</v>
      </c>
      <c r="E725" t="s">
        <v>791</v>
      </c>
      <c r="F725" s="13">
        <v>1</v>
      </c>
      <c r="G725" s="14">
        <v>711.68</v>
      </c>
      <c r="H725" s="13">
        <v>333</v>
      </c>
      <c r="I725" t="s">
        <v>77</v>
      </c>
    </row>
    <row r="726" spans="1:9" x14ac:dyDescent="0.3">
      <c r="A726">
        <v>6607</v>
      </c>
      <c r="B726" t="s">
        <v>283</v>
      </c>
      <c r="C726" t="s">
        <v>92</v>
      </c>
      <c r="D726" t="s">
        <v>64</v>
      </c>
      <c r="E726" t="s">
        <v>791</v>
      </c>
      <c r="F726" s="13">
        <v>2</v>
      </c>
      <c r="G726" s="14">
        <v>3672.49</v>
      </c>
      <c r="H726" s="13">
        <v>333</v>
      </c>
      <c r="I726" t="s">
        <v>77</v>
      </c>
    </row>
    <row r="727" spans="1:9" x14ac:dyDescent="0.3">
      <c r="A727">
        <v>7104</v>
      </c>
      <c r="B727" t="s">
        <v>792</v>
      </c>
      <c r="C727" t="s">
        <v>95</v>
      </c>
      <c r="D727" t="s">
        <v>65</v>
      </c>
      <c r="E727" t="s">
        <v>791</v>
      </c>
      <c r="F727" s="13">
        <v>2</v>
      </c>
      <c r="G727" s="14">
        <v>6786.19</v>
      </c>
      <c r="H727" s="13">
        <v>333</v>
      </c>
      <c r="I727" t="s">
        <v>77</v>
      </c>
    </row>
    <row r="728" spans="1:9" x14ac:dyDescent="0.3">
      <c r="A728">
        <v>7828</v>
      </c>
      <c r="B728" t="s">
        <v>364</v>
      </c>
      <c r="C728" t="s">
        <v>92</v>
      </c>
      <c r="D728" t="s">
        <v>64</v>
      </c>
      <c r="E728" t="s">
        <v>791</v>
      </c>
      <c r="F728" s="13">
        <v>1</v>
      </c>
      <c r="G728" s="14">
        <v>1537.49</v>
      </c>
      <c r="H728" s="13">
        <v>333</v>
      </c>
      <c r="I728" t="s">
        <v>77</v>
      </c>
    </row>
    <row r="729" spans="1:9" x14ac:dyDescent="0.3">
      <c r="A729">
        <v>7845</v>
      </c>
      <c r="B729" t="s">
        <v>793</v>
      </c>
      <c r="C729" t="s">
        <v>92</v>
      </c>
      <c r="D729" t="s">
        <v>64</v>
      </c>
      <c r="E729" t="s">
        <v>791</v>
      </c>
      <c r="F729" s="13">
        <v>2</v>
      </c>
      <c r="G729" s="14">
        <v>1617.52</v>
      </c>
      <c r="H729" s="13">
        <v>333</v>
      </c>
      <c r="I729" t="s">
        <v>77</v>
      </c>
    </row>
    <row r="730" spans="1:9" x14ac:dyDescent="0.3">
      <c r="A730">
        <v>7976</v>
      </c>
      <c r="B730" t="s">
        <v>313</v>
      </c>
      <c r="C730" t="s">
        <v>92</v>
      </c>
      <c r="D730" t="s">
        <v>64</v>
      </c>
      <c r="E730" t="s">
        <v>791</v>
      </c>
      <c r="F730" s="13">
        <v>1</v>
      </c>
      <c r="G730" s="14">
        <v>3671.42</v>
      </c>
      <c r="H730" s="13">
        <v>333</v>
      </c>
      <c r="I730" t="s">
        <v>77</v>
      </c>
    </row>
    <row r="731" spans="1:9" x14ac:dyDescent="0.3">
      <c r="A731">
        <v>955</v>
      </c>
      <c r="B731" t="s">
        <v>641</v>
      </c>
      <c r="C731" t="s">
        <v>137</v>
      </c>
      <c r="D731" t="s">
        <v>64</v>
      </c>
      <c r="E731" t="s">
        <v>794</v>
      </c>
      <c r="F731" s="13">
        <v>1</v>
      </c>
      <c r="G731" s="14">
        <v>1075.6600000000001</v>
      </c>
      <c r="H731" s="13">
        <v>332</v>
      </c>
      <c r="I731" t="s">
        <v>77</v>
      </c>
    </row>
    <row r="732" spans="1:9" x14ac:dyDescent="0.3">
      <c r="A732">
        <v>3239</v>
      </c>
      <c r="B732" t="s">
        <v>795</v>
      </c>
      <c r="C732" t="s">
        <v>92</v>
      </c>
      <c r="D732" t="s">
        <v>64</v>
      </c>
      <c r="E732" t="s">
        <v>794</v>
      </c>
      <c r="F732" s="13">
        <v>1</v>
      </c>
      <c r="G732" s="14">
        <v>1613.62</v>
      </c>
      <c r="H732" s="13">
        <v>332</v>
      </c>
      <c r="I732" t="s">
        <v>77</v>
      </c>
    </row>
    <row r="733" spans="1:9" x14ac:dyDescent="0.3">
      <c r="A733">
        <v>4447</v>
      </c>
      <c r="B733" t="s">
        <v>796</v>
      </c>
      <c r="C733" t="s">
        <v>137</v>
      </c>
      <c r="D733" t="s">
        <v>64</v>
      </c>
      <c r="E733" t="s">
        <v>794</v>
      </c>
      <c r="F733" s="13">
        <v>2</v>
      </c>
      <c r="G733" s="14">
        <v>3970.49</v>
      </c>
      <c r="H733" s="13">
        <v>332</v>
      </c>
      <c r="I733" t="s">
        <v>77</v>
      </c>
    </row>
    <row r="734" spans="1:9" x14ac:dyDescent="0.3">
      <c r="A734">
        <v>6021</v>
      </c>
      <c r="B734" t="s">
        <v>797</v>
      </c>
      <c r="C734" t="s">
        <v>121</v>
      </c>
      <c r="D734" t="s">
        <v>67</v>
      </c>
      <c r="E734" t="s">
        <v>794</v>
      </c>
      <c r="F734" s="13">
        <v>1</v>
      </c>
      <c r="G734" s="14">
        <v>3042.72</v>
      </c>
      <c r="H734" s="13">
        <v>332</v>
      </c>
      <c r="I734" t="s">
        <v>77</v>
      </c>
    </row>
    <row r="735" spans="1:9" x14ac:dyDescent="0.3">
      <c r="A735">
        <v>7001</v>
      </c>
      <c r="B735" t="s">
        <v>302</v>
      </c>
      <c r="C735" t="s">
        <v>100</v>
      </c>
      <c r="D735" t="s">
        <v>66</v>
      </c>
      <c r="E735" t="s">
        <v>794</v>
      </c>
      <c r="F735" s="13">
        <v>1</v>
      </c>
      <c r="G735" s="14">
        <v>298.88</v>
      </c>
      <c r="H735" s="13">
        <v>332</v>
      </c>
      <c r="I735" t="s">
        <v>77</v>
      </c>
    </row>
    <row r="736" spans="1:9" x14ac:dyDescent="0.3">
      <c r="A736">
        <v>8418</v>
      </c>
      <c r="B736" t="s">
        <v>178</v>
      </c>
      <c r="C736" t="s">
        <v>123</v>
      </c>
      <c r="D736" t="s">
        <v>65</v>
      </c>
      <c r="E736" t="s">
        <v>794</v>
      </c>
      <c r="F736" s="13">
        <v>1</v>
      </c>
      <c r="G736" s="14">
        <v>329.85</v>
      </c>
      <c r="H736" s="13">
        <v>332</v>
      </c>
      <c r="I736" t="s">
        <v>77</v>
      </c>
    </row>
    <row r="737" spans="1:9" x14ac:dyDescent="0.3">
      <c r="A737">
        <v>1935</v>
      </c>
      <c r="B737" t="s">
        <v>153</v>
      </c>
      <c r="C737" t="s">
        <v>92</v>
      </c>
      <c r="D737" t="s">
        <v>64</v>
      </c>
      <c r="E737" t="s">
        <v>798</v>
      </c>
      <c r="F737" s="13">
        <v>2</v>
      </c>
      <c r="G737" s="14">
        <v>4638.45</v>
      </c>
      <c r="H737" s="13">
        <v>331</v>
      </c>
      <c r="I737" t="s">
        <v>77</v>
      </c>
    </row>
    <row r="738" spans="1:9" x14ac:dyDescent="0.3">
      <c r="A738">
        <v>3292</v>
      </c>
      <c r="B738" t="s">
        <v>514</v>
      </c>
      <c r="C738" t="s">
        <v>133</v>
      </c>
      <c r="D738" t="s">
        <v>64</v>
      </c>
      <c r="E738" t="s">
        <v>798</v>
      </c>
      <c r="F738" s="13">
        <v>1</v>
      </c>
      <c r="G738" s="14">
        <v>4150.5</v>
      </c>
      <c r="H738" s="13">
        <v>331</v>
      </c>
      <c r="I738" t="s">
        <v>77</v>
      </c>
    </row>
    <row r="739" spans="1:9" x14ac:dyDescent="0.3">
      <c r="A739">
        <v>4856</v>
      </c>
      <c r="B739" t="s">
        <v>799</v>
      </c>
      <c r="C739" t="s">
        <v>92</v>
      </c>
      <c r="D739" t="s">
        <v>64</v>
      </c>
      <c r="E739" t="s">
        <v>798</v>
      </c>
      <c r="F739" s="13">
        <v>1</v>
      </c>
      <c r="G739" s="14">
        <v>5280.63</v>
      </c>
      <c r="H739" s="13">
        <v>331</v>
      </c>
      <c r="I739" t="s">
        <v>77</v>
      </c>
    </row>
    <row r="740" spans="1:9" x14ac:dyDescent="0.3">
      <c r="A740">
        <v>4991</v>
      </c>
      <c r="B740" t="s">
        <v>800</v>
      </c>
      <c r="C740" t="s">
        <v>92</v>
      </c>
      <c r="D740" t="s">
        <v>64</v>
      </c>
      <c r="E740" t="s">
        <v>798</v>
      </c>
      <c r="F740" s="13">
        <v>1</v>
      </c>
      <c r="G740" s="14">
        <v>519.66</v>
      </c>
      <c r="H740" s="13">
        <v>331</v>
      </c>
      <c r="I740" t="s">
        <v>77</v>
      </c>
    </row>
    <row r="741" spans="1:9" x14ac:dyDescent="0.3">
      <c r="A741">
        <v>7911</v>
      </c>
      <c r="B741" t="s">
        <v>135</v>
      </c>
      <c r="C741" t="s">
        <v>92</v>
      </c>
      <c r="D741" t="s">
        <v>64</v>
      </c>
      <c r="E741" t="s">
        <v>798</v>
      </c>
      <c r="F741" s="13">
        <v>2</v>
      </c>
      <c r="G741" s="14">
        <v>3614.79</v>
      </c>
      <c r="H741" s="13">
        <v>331</v>
      </c>
      <c r="I741" t="s">
        <v>77</v>
      </c>
    </row>
    <row r="742" spans="1:9" x14ac:dyDescent="0.3">
      <c r="A742">
        <v>601</v>
      </c>
      <c r="B742" t="s">
        <v>801</v>
      </c>
      <c r="C742" t="s">
        <v>92</v>
      </c>
      <c r="D742" t="s">
        <v>64</v>
      </c>
      <c r="E742" t="s">
        <v>802</v>
      </c>
      <c r="F742" s="13">
        <v>5</v>
      </c>
      <c r="G742" s="14">
        <v>7322.81</v>
      </c>
      <c r="H742" s="13">
        <v>330</v>
      </c>
      <c r="I742" t="s">
        <v>77</v>
      </c>
    </row>
    <row r="743" spans="1:9" x14ac:dyDescent="0.3">
      <c r="A743">
        <v>1248</v>
      </c>
      <c r="B743" t="s">
        <v>590</v>
      </c>
      <c r="C743" t="s">
        <v>133</v>
      </c>
      <c r="D743" t="s">
        <v>64</v>
      </c>
      <c r="E743" t="s">
        <v>802</v>
      </c>
      <c r="F743" s="13">
        <v>3</v>
      </c>
      <c r="G743" s="14">
        <v>12160.65</v>
      </c>
      <c r="H743" s="13">
        <v>330</v>
      </c>
      <c r="I743" t="s">
        <v>77</v>
      </c>
    </row>
    <row r="744" spans="1:9" x14ac:dyDescent="0.3">
      <c r="A744">
        <v>8632</v>
      </c>
      <c r="B744" t="s">
        <v>297</v>
      </c>
      <c r="C744" t="s">
        <v>123</v>
      </c>
      <c r="D744" t="s">
        <v>65</v>
      </c>
      <c r="E744" t="s">
        <v>802</v>
      </c>
      <c r="F744" s="13">
        <v>2</v>
      </c>
      <c r="G744" s="14">
        <v>1048.25</v>
      </c>
      <c r="H744" s="13">
        <v>330</v>
      </c>
      <c r="I744" t="s">
        <v>77</v>
      </c>
    </row>
    <row r="745" spans="1:9" x14ac:dyDescent="0.3">
      <c r="A745">
        <v>2614</v>
      </c>
      <c r="B745" t="s">
        <v>534</v>
      </c>
      <c r="C745" t="s">
        <v>123</v>
      </c>
      <c r="D745" t="s">
        <v>65</v>
      </c>
      <c r="E745" t="s">
        <v>803</v>
      </c>
      <c r="F745" s="13">
        <v>1</v>
      </c>
      <c r="G745" s="14">
        <v>2954.83</v>
      </c>
      <c r="H745" s="13">
        <v>329</v>
      </c>
      <c r="I745" t="s">
        <v>77</v>
      </c>
    </row>
    <row r="746" spans="1:9" x14ac:dyDescent="0.3">
      <c r="A746">
        <v>1993</v>
      </c>
      <c r="B746" t="s">
        <v>438</v>
      </c>
      <c r="C746" t="s">
        <v>156</v>
      </c>
      <c r="D746" t="s">
        <v>68</v>
      </c>
      <c r="E746" t="s">
        <v>804</v>
      </c>
      <c r="F746" s="13">
        <v>2</v>
      </c>
      <c r="G746" s="14">
        <v>2158.5500000000002</v>
      </c>
      <c r="H746" s="13">
        <v>328</v>
      </c>
      <c r="I746" t="s">
        <v>77</v>
      </c>
    </row>
    <row r="747" spans="1:9" x14ac:dyDescent="0.3">
      <c r="A747">
        <v>4328</v>
      </c>
      <c r="B747" t="s">
        <v>805</v>
      </c>
      <c r="C747" t="s">
        <v>92</v>
      </c>
      <c r="D747" t="s">
        <v>64</v>
      </c>
      <c r="E747" t="s">
        <v>804</v>
      </c>
      <c r="F747" s="13">
        <v>1</v>
      </c>
      <c r="G747" s="14">
        <v>1888.77</v>
      </c>
      <c r="H747" s="13">
        <v>328</v>
      </c>
      <c r="I747" t="s">
        <v>77</v>
      </c>
    </row>
    <row r="748" spans="1:9" x14ac:dyDescent="0.3">
      <c r="A748">
        <v>7166</v>
      </c>
      <c r="B748" t="s">
        <v>534</v>
      </c>
      <c r="C748" t="s">
        <v>114</v>
      </c>
      <c r="D748" t="s">
        <v>66</v>
      </c>
      <c r="E748" t="s">
        <v>804</v>
      </c>
      <c r="F748" s="13">
        <v>2</v>
      </c>
      <c r="G748" s="14">
        <v>3037.8</v>
      </c>
      <c r="H748" s="13">
        <v>328</v>
      </c>
      <c r="I748" t="s">
        <v>77</v>
      </c>
    </row>
    <row r="749" spans="1:9" x14ac:dyDescent="0.3">
      <c r="A749">
        <v>7439</v>
      </c>
      <c r="B749" t="s">
        <v>182</v>
      </c>
      <c r="C749" t="s">
        <v>92</v>
      </c>
      <c r="D749" t="s">
        <v>64</v>
      </c>
      <c r="E749" t="s">
        <v>804</v>
      </c>
      <c r="F749" s="13">
        <v>2</v>
      </c>
      <c r="G749" s="14">
        <v>1438.08</v>
      </c>
      <c r="H749" s="13">
        <v>328</v>
      </c>
      <c r="I749" t="s">
        <v>77</v>
      </c>
    </row>
    <row r="750" spans="1:9" x14ac:dyDescent="0.3">
      <c r="A750">
        <v>1653</v>
      </c>
      <c r="B750" t="s">
        <v>806</v>
      </c>
      <c r="C750" t="s">
        <v>137</v>
      </c>
      <c r="D750" t="s">
        <v>64</v>
      </c>
      <c r="E750" t="s">
        <v>807</v>
      </c>
      <c r="F750" s="13">
        <v>1</v>
      </c>
      <c r="G750" s="14">
        <v>3987.76</v>
      </c>
      <c r="H750" s="13">
        <v>327</v>
      </c>
      <c r="I750" t="s">
        <v>77</v>
      </c>
    </row>
    <row r="751" spans="1:9" x14ac:dyDescent="0.3">
      <c r="A751">
        <v>5799</v>
      </c>
      <c r="B751" t="s">
        <v>808</v>
      </c>
      <c r="C751" t="s">
        <v>123</v>
      </c>
      <c r="D751" t="s">
        <v>65</v>
      </c>
      <c r="E751" t="s">
        <v>807</v>
      </c>
      <c r="F751" s="13">
        <v>1</v>
      </c>
      <c r="G751" s="14">
        <v>178.4</v>
      </c>
      <c r="H751" s="13">
        <v>327</v>
      </c>
      <c r="I751" t="s">
        <v>77</v>
      </c>
    </row>
    <row r="752" spans="1:9" x14ac:dyDescent="0.3">
      <c r="A752">
        <v>8006</v>
      </c>
      <c r="B752" t="s">
        <v>809</v>
      </c>
      <c r="C752" t="s">
        <v>137</v>
      </c>
      <c r="D752" t="s">
        <v>64</v>
      </c>
      <c r="E752" t="s">
        <v>807</v>
      </c>
      <c r="F752" s="13">
        <v>2</v>
      </c>
      <c r="G752" s="14">
        <v>2969.31</v>
      </c>
      <c r="H752" s="13">
        <v>327</v>
      </c>
      <c r="I752" t="s">
        <v>77</v>
      </c>
    </row>
    <row r="753" spans="1:9" x14ac:dyDescent="0.3">
      <c r="A753">
        <v>8042</v>
      </c>
      <c r="B753" t="s">
        <v>89</v>
      </c>
      <c r="C753" t="s">
        <v>97</v>
      </c>
      <c r="D753" t="s">
        <v>65</v>
      </c>
      <c r="E753" t="s">
        <v>807</v>
      </c>
      <c r="F753" s="13">
        <v>1</v>
      </c>
      <c r="G753" s="14">
        <v>446.57</v>
      </c>
      <c r="H753" s="13">
        <v>327</v>
      </c>
      <c r="I753" t="s">
        <v>77</v>
      </c>
    </row>
    <row r="754" spans="1:9" x14ac:dyDescent="0.3">
      <c r="A754">
        <v>3604</v>
      </c>
      <c r="B754" t="s">
        <v>810</v>
      </c>
      <c r="C754" t="s">
        <v>137</v>
      </c>
      <c r="D754" t="s">
        <v>64</v>
      </c>
      <c r="E754" t="s">
        <v>811</v>
      </c>
      <c r="F754" s="13">
        <v>2</v>
      </c>
      <c r="G754" s="14">
        <v>8176.16</v>
      </c>
      <c r="H754" s="13">
        <v>326</v>
      </c>
      <c r="I754" t="s">
        <v>77</v>
      </c>
    </row>
    <row r="755" spans="1:9" x14ac:dyDescent="0.3">
      <c r="A755">
        <v>3632</v>
      </c>
      <c r="B755" t="s">
        <v>812</v>
      </c>
      <c r="C755" t="s">
        <v>137</v>
      </c>
      <c r="D755" t="s">
        <v>64</v>
      </c>
      <c r="E755" t="s">
        <v>811</v>
      </c>
      <c r="F755" s="13">
        <v>2</v>
      </c>
      <c r="G755" s="14">
        <v>1074.29</v>
      </c>
      <c r="H755" s="13">
        <v>326</v>
      </c>
      <c r="I755" t="s">
        <v>77</v>
      </c>
    </row>
    <row r="756" spans="1:9" x14ac:dyDescent="0.3">
      <c r="A756">
        <v>4739</v>
      </c>
      <c r="B756" t="s">
        <v>813</v>
      </c>
      <c r="C756" t="s">
        <v>100</v>
      </c>
      <c r="D756" t="s">
        <v>66</v>
      </c>
      <c r="E756" t="s">
        <v>811</v>
      </c>
      <c r="F756" s="13">
        <v>1</v>
      </c>
      <c r="G756" s="14">
        <v>385.64</v>
      </c>
      <c r="H756" s="13">
        <v>326</v>
      </c>
      <c r="I756" t="s">
        <v>77</v>
      </c>
    </row>
    <row r="757" spans="1:9" x14ac:dyDescent="0.3">
      <c r="A757">
        <v>6515</v>
      </c>
      <c r="B757" t="s">
        <v>662</v>
      </c>
      <c r="C757" t="s">
        <v>137</v>
      </c>
      <c r="D757" t="s">
        <v>64</v>
      </c>
      <c r="E757" t="s">
        <v>811</v>
      </c>
      <c r="F757" s="13">
        <v>1</v>
      </c>
      <c r="G757" s="14">
        <v>1126.96</v>
      </c>
      <c r="H757" s="13">
        <v>326</v>
      </c>
      <c r="I757" t="s">
        <v>77</v>
      </c>
    </row>
    <row r="758" spans="1:9" x14ac:dyDescent="0.3">
      <c r="A758">
        <v>6776</v>
      </c>
      <c r="B758" t="s">
        <v>814</v>
      </c>
      <c r="C758" t="s">
        <v>95</v>
      </c>
      <c r="D758" t="s">
        <v>65</v>
      </c>
      <c r="E758" t="s">
        <v>811</v>
      </c>
      <c r="F758" s="13">
        <v>1</v>
      </c>
      <c r="G758" s="14">
        <v>106.82</v>
      </c>
      <c r="H758" s="13">
        <v>326</v>
      </c>
      <c r="I758" t="s">
        <v>77</v>
      </c>
    </row>
    <row r="759" spans="1:9" x14ac:dyDescent="0.3">
      <c r="A759">
        <v>6788</v>
      </c>
      <c r="B759" t="s">
        <v>815</v>
      </c>
      <c r="C759" t="s">
        <v>133</v>
      </c>
      <c r="D759" t="s">
        <v>64</v>
      </c>
      <c r="E759" t="s">
        <v>811</v>
      </c>
      <c r="F759" s="13">
        <v>1</v>
      </c>
      <c r="G759" s="14">
        <v>6539.81</v>
      </c>
      <c r="H759" s="13">
        <v>326</v>
      </c>
      <c r="I759" t="s">
        <v>77</v>
      </c>
    </row>
    <row r="760" spans="1:9" x14ac:dyDescent="0.3">
      <c r="A760">
        <v>8139</v>
      </c>
      <c r="B760" t="s">
        <v>333</v>
      </c>
      <c r="C760" t="s">
        <v>100</v>
      </c>
      <c r="D760" t="s">
        <v>66</v>
      </c>
      <c r="E760" t="s">
        <v>811</v>
      </c>
      <c r="F760" s="13">
        <v>2</v>
      </c>
      <c r="G760" s="14">
        <v>4227.76</v>
      </c>
      <c r="H760" s="13">
        <v>326</v>
      </c>
      <c r="I760" t="s">
        <v>77</v>
      </c>
    </row>
    <row r="761" spans="1:9" x14ac:dyDescent="0.3">
      <c r="A761">
        <v>631</v>
      </c>
      <c r="B761" t="s">
        <v>208</v>
      </c>
      <c r="C761" t="s">
        <v>97</v>
      </c>
      <c r="D761" t="s">
        <v>65</v>
      </c>
      <c r="E761" t="s">
        <v>816</v>
      </c>
      <c r="F761" s="13">
        <v>2</v>
      </c>
      <c r="G761" s="14">
        <v>4839.0600000000004</v>
      </c>
      <c r="H761" s="13">
        <v>325</v>
      </c>
      <c r="I761" t="s">
        <v>77</v>
      </c>
    </row>
    <row r="762" spans="1:9" x14ac:dyDescent="0.3">
      <c r="A762">
        <v>1674</v>
      </c>
      <c r="B762" t="s">
        <v>817</v>
      </c>
      <c r="C762" t="s">
        <v>473</v>
      </c>
      <c r="D762" t="s">
        <v>68</v>
      </c>
      <c r="E762" t="s">
        <v>816</v>
      </c>
      <c r="F762" s="13">
        <v>1</v>
      </c>
      <c r="G762" s="14">
        <v>82.68</v>
      </c>
      <c r="H762" s="13">
        <v>325</v>
      </c>
      <c r="I762" t="s">
        <v>77</v>
      </c>
    </row>
    <row r="763" spans="1:9" x14ac:dyDescent="0.3">
      <c r="A763">
        <v>5957</v>
      </c>
      <c r="B763" t="s">
        <v>311</v>
      </c>
      <c r="C763" t="s">
        <v>133</v>
      </c>
      <c r="D763" t="s">
        <v>64</v>
      </c>
      <c r="E763" t="s">
        <v>816</v>
      </c>
      <c r="F763" s="13">
        <v>1</v>
      </c>
      <c r="G763" s="14">
        <v>1823.27</v>
      </c>
      <c r="H763" s="13">
        <v>325</v>
      </c>
      <c r="I763" t="s">
        <v>77</v>
      </c>
    </row>
    <row r="764" spans="1:9" x14ac:dyDescent="0.3">
      <c r="A764">
        <v>1120</v>
      </c>
      <c r="B764" t="s">
        <v>818</v>
      </c>
      <c r="C764" t="s">
        <v>97</v>
      </c>
      <c r="D764" t="s">
        <v>65</v>
      </c>
      <c r="E764" t="s">
        <v>819</v>
      </c>
      <c r="F764" s="13">
        <v>1</v>
      </c>
      <c r="G764" s="14">
        <v>3121.49</v>
      </c>
      <c r="H764" s="13">
        <v>324</v>
      </c>
      <c r="I764" t="s">
        <v>77</v>
      </c>
    </row>
    <row r="765" spans="1:9" x14ac:dyDescent="0.3">
      <c r="A765">
        <v>1874</v>
      </c>
      <c r="B765" t="s">
        <v>820</v>
      </c>
      <c r="C765" t="s">
        <v>133</v>
      </c>
      <c r="D765" t="s">
        <v>64</v>
      </c>
      <c r="E765" t="s">
        <v>819</v>
      </c>
      <c r="F765" s="13">
        <v>1</v>
      </c>
      <c r="G765" s="14">
        <v>1084.45</v>
      </c>
      <c r="H765" s="13">
        <v>324</v>
      </c>
      <c r="I765" t="s">
        <v>77</v>
      </c>
    </row>
    <row r="766" spans="1:9" x14ac:dyDescent="0.3">
      <c r="A766">
        <v>5500</v>
      </c>
      <c r="B766" t="s">
        <v>415</v>
      </c>
      <c r="C766" t="s">
        <v>137</v>
      </c>
      <c r="D766" t="s">
        <v>64</v>
      </c>
      <c r="E766" t="s">
        <v>819</v>
      </c>
      <c r="F766" s="13">
        <v>3</v>
      </c>
      <c r="G766" s="14">
        <v>2993.39</v>
      </c>
      <c r="H766" s="13">
        <v>324</v>
      </c>
      <c r="I766" t="s">
        <v>77</v>
      </c>
    </row>
    <row r="767" spans="1:9" x14ac:dyDescent="0.3">
      <c r="A767">
        <v>7400</v>
      </c>
      <c r="B767" t="s">
        <v>821</v>
      </c>
      <c r="C767" t="s">
        <v>92</v>
      </c>
      <c r="D767" t="s">
        <v>64</v>
      </c>
      <c r="E767" t="s">
        <v>819</v>
      </c>
      <c r="F767" s="13">
        <v>1</v>
      </c>
      <c r="G767" s="14">
        <v>716.37</v>
      </c>
      <c r="H767" s="13">
        <v>324</v>
      </c>
      <c r="I767" t="s">
        <v>77</v>
      </c>
    </row>
    <row r="768" spans="1:9" x14ac:dyDescent="0.3">
      <c r="A768">
        <v>8107</v>
      </c>
      <c r="B768" t="s">
        <v>393</v>
      </c>
      <c r="C768" t="s">
        <v>92</v>
      </c>
      <c r="D768" t="s">
        <v>64</v>
      </c>
      <c r="E768" t="s">
        <v>819</v>
      </c>
      <c r="F768" s="13">
        <v>2</v>
      </c>
      <c r="G768" s="14">
        <v>4303.8</v>
      </c>
      <c r="H768" s="13">
        <v>324</v>
      </c>
      <c r="I768" t="s">
        <v>77</v>
      </c>
    </row>
    <row r="769" spans="1:9" x14ac:dyDescent="0.3">
      <c r="A769">
        <v>1349</v>
      </c>
      <c r="B769" t="s">
        <v>519</v>
      </c>
      <c r="C769" t="s">
        <v>121</v>
      </c>
      <c r="D769" t="s">
        <v>67</v>
      </c>
      <c r="E769" t="s">
        <v>822</v>
      </c>
      <c r="F769" s="13">
        <v>1</v>
      </c>
      <c r="G769" s="14">
        <v>243.01</v>
      </c>
      <c r="H769" s="13">
        <v>323</v>
      </c>
      <c r="I769" t="s">
        <v>77</v>
      </c>
    </row>
    <row r="770" spans="1:9" x14ac:dyDescent="0.3">
      <c r="A770">
        <v>3992</v>
      </c>
      <c r="B770" t="s">
        <v>257</v>
      </c>
      <c r="C770" t="s">
        <v>137</v>
      </c>
      <c r="D770" t="s">
        <v>64</v>
      </c>
      <c r="E770" t="s">
        <v>822</v>
      </c>
      <c r="F770" s="13">
        <v>1</v>
      </c>
      <c r="G770" s="14">
        <v>226.45</v>
      </c>
      <c r="H770" s="13">
        <v>323</v>
      </c>
      <c r="I770" t="s">
        <v>77</v>
      </c>
    </row>
    <row r="771" spans="1:9" x14ac:dyDescent="0.3">
      <c r="A771">
        <v>7153</v>
      </c>
      <c r="B771" t="s">
        <v>313</v>
      </c>
      <c r="C771" t="s">
        <v>95</v>
      </c>
      <c r="D771" t="s">
        <v>65</v>
      </c>
      <c r="E771" t="s">
        <v>822</v>
      </c>
      <c r="F771" s="13">
        <v>1</v>
      </c>
      <c r="G771" s="14">
        <v>355.91</v>
      </c>
      <c r="H771" s="13">
        <v>323</v>
      </c>
      <c r="I771" t="s">
        <v>77</v>
      </c>
    </row>
    <row r="772" spans="1:9" x14ac:dyDescent="0.3">
      <c r="A772">
        <v>594</v>
      </c>
      <c r="B772" t="s">
        <v>342</v>
      </c>
      <c r="C772" t="s">
        <v>92</v>
      </c>
      <c r="D772" t="s">
        <v>64</v>
      </c>
      <c r="E772" t="s">
        <v>823</v>
      </c>
      <c r="F772" s="13">
        <v>1</v>
      </c>
      <c r="G772" s="14">
        <v>1207.1300000000001</v>
      </c>
      <c r="H772" s="13">
        <v>322</v>
      </c>
      <c r="I772" t="s">
        <v>77</v>
      </c>
    </row>
    <row r="773" spans="1:9" x14ac:dyDescent="0.3">
      <c r="A773">
        <v>677</v>
      </c>
      <c r="B773" t="s">
        <v>824</v>
      </c>
      <c r="C773" t="s">
        <v>92</v>
      </c>
      <c r="D773" t="s">
        <v>64</v>
      </c>
      <c r="E773" t="s">
        <v>823</v>
      </c>
      <c r="F773" s="13">
        <v>2</v>
      </c>
      <c r="G773" s="14">
        <v>2631.91</v>
      </c>
      <c r="H773" s="13">
        <v>322</v>
      </c>
      <c r="I773" t="s">
        <v>77</v>
      </c>
    </row>
    <row r="774" spans="1:9" x14ac:dyDescent="0.3">
      <c r="A774">
        <v>1194</v>
      </c>
      <c r="B774" t="s">
        <v>183</v>
      </c>
      <c r="C774" t="s">
        <v>97</v>
      </c>
      <c r="D774" t="s">
        <v>65</v>
      </c>
      <c r="E774" t="s">
        <v>823</v>
      </c>
      <c r="F774" s="13">
        <v>2</v>
      </c>
      <c r="G774" s="14">
        <v>3275.5</v>
      </c>
      <c r="H774" s="13">
        <v>322</v>
      </c>
      <c r="I774" t="s">
        <v>77</v>
      </c>
    </row>
    <row r="775" spans="1:9" x14ac:dyDescent="0.3">
      <c r="A775">
        <v>2045</v>
      </c>
      <c r="B775" t="s">
        <v>825</v>
      </c>
      <c r="C775" t="s">
        <v>121</v>
      </c>
      <c r="D775" t="s">
        <v>67</v>
      </c>
      <c r="E775" t="s">
        <v>823</v>
      </c>
      <c r="F775" s="13">
        <v>2</v>
      </c>
      <c r="G775" s="14">
        <v>336.46</v>
      </c>
      <c r="H775" s="13">
        <v>322</v>
      </c>
      <c r="I775" t="s">
        <v>77</v>
      </c>
    </row>
    <row r="776" spans="1:9" x14ac:dyDescent="0.3">
      <c r="A776">
        <v>2813</v>
      </c>
      <c r="B776" t="s">
        <v>295</v>
      </c>
      <c r="C776" t="s">
        <v>87</v>
      </c>
      <c r="D776" t="s">
        <v>64</v>
      </c>
      <c r="E776" t="s">
        <v>823</v>
      </c>
      <c r="F776" s="13">
        <v>2</v>
      </c>
      <c r="G776" s="14">
        <v>8372</v>
      </c>
      <c r="H776" s="13">
        <v>322</v>
      </c>
      <c r="I776" t="s">
        <v>77</v>
      </c>
    </row>
    <row r="777" spans="1:9" x14ac:dyDescent="0.3">
      <c r="A777">
        <v>3175</v>
      </c>
      <c r="B777" t="s">
        <v>826</v>
      </c>
      <c r="C777" t="s">
        <v>123</v>
      </c>
      <c r="D777" t="s">
        <v>65</v>
      </c>
      <c r="E777" t="s">
        <v>823</v>
      </c>
      <c r="F777" s="13">
        <v>2</v>
      </c>
      <c r="G777" s="14">
        <v>6661.75</v>
      </c>
      <c r="H777" s="13">
        <v>322</v>
      </c>
      <c r="I777" t="s">
        <v>77</v>
      </c>
    </row>
    <row r="778" spans="1:9" x14ac:dyDescent="0.3">
      <c r="A778">
        <v>5013</v>
      </c>
      <c r="B778" t="s">
        <v>388</v>
      </c>
      <c r="C778" t="s">
        <v>92</v>
      </c>
      <c r="D778" t="s">
        <v>64</v>
      </c>
      <c r="E778" t="s">
        <v>823</v>
      </c>
      <c r="F778" s="13">
        <v>1</v>
      </c>
      <c r="G778" s="14">
        <v>2135.25</v>
      </c>
      <c r="H778" s="13">
        <v>322</v>
      </c>
      <c r="I778" t="s">
        <v>77</v>
      </c>
    </row>
    <row r="779" spans="1:9" x14ac:dyDescent="0.3">
      <c r="A779">
        <v>7756</v>
      </c>
      <c r="B779" t="s">
        <v>327</v>
      </c>
      <c r="C779" t="s">
        <v>137</v>
      </c>
      <c r="D779" t="s">
        <v>64</v>
      </c>
      <c r="E779" t="s">
        <v>823</v>
      </c>
      <c r="F779" s="13">
        <v>1</v>
      </c>
      <c r="G779" s="14">
        <v>1310.83</v>
      </c>
      <c r="H779" s="13">
        <v>322</v>
      </c>
      <c r="I779" t="s">
        <v>77</v>
      </c>
    </row>
    <row r="780" spans="1:9" x14ac:dyDescent="0.3">
      <c r="A780">
        <v>361</v>
      </c>
      <c r="B780" t="s">
        <v>827</v>
      </c>
      <c r="C780" t="s">
        <v>123</v>
      </c>
      <c r="D780" t="s">
        <v>65</v>
      </c>
      <c r="E780" t="s">
        <v>828</v>
      </c>
      <c r="F780" s="13">
        <v>4</v>
      </c>
      <c r="G780" s="14">
        <v>10191.120000000001</v>
      </c>
      <c r="H780" s="13">
        <v>321</v>
      </c>
      <c r="I780" t="s">
        <v>77</v>
      </c>
    </row>
    <row r="781" spans="1:9" x14ac:dyDescent="0.3">
      <c r="A781">
        <v>853</v>
      </c>
      <c r="B781" t="s">
        <v>113</v>
      </c>
      <c r="C781" t="s">
        <v>137</v>
      </c>
      <c r="D781" t="s">
        <v>64</v>
      </c>
      <c r="E781" t="s">
        <v>828</v>
      </c>
      <c r="F781" s="13">
        <v>1</v>
      </c>
      <c r="G781" s="14">
        <v>2036.26</v>
      </c>
      <c r="H781" s="13">
        <v>321</v>
      </c>
      <c r="I781" t="s">
        <v>77</v>
      </c>
    </row>
    <row r="782" spans="1:9" x14ac:dyDescent="0.3">
      <c r="A782">
        <v>1482</v>
      </c>
      <c r="B782" t="s">
        <v>86</v>
      </c>
      <c r="C782" t="s">
        <v>92</v>
      </c>
      <c r="D782" t="s">
        <v>64</v>
      </c>
      <c r="E782" t="s">
        <v>828</v>
      </c>
      <c r="F782" s="13">
        <v>2</v>
      </c>
      <c r="G782" s="14">
        <v>3365.18</v>
      </c>
      <c r="H782" s="13">
        <v>321</v>
      </c>
      <c r="I782" t="s">
        <v>77</v>
      </c>
    </row>
    <row r="783" spans="1:9" x14ac:dyDescent="0.3">
      <c r="A783">
        <v>2241</v>
      </c>
      <c r="B783" t="s">
        <v>829</v>
      </c>
      <c r="C783" t="s">
        <v>87</v>
      </c>
      <c r="D783" t="s">
        <v>64</v>
      </c>
      <c r="E783" t="s">
        <v>828</v>
      </c>
      <c r="F783" s="13">
        <v>2</v>
      </c>
      <c r="G783" s="14">
        <v>2341.2199999999998</v>
      </c>
      <c r="H783" s="13">
        <v>321</v>
      </c>
      <c r="I783" t="s">
        <v>77</v>
      </c>
    </row>
    <row r="784" spans="1:9" x14ac:dyDescent="0.3">
      <c r="A784">
        <v>3429</v>
      </c>
      <c r="B784" t="s">
        <v>293</v>
      </c>
      <c r="C784" t="s">
        <v>121</v>
      </c>
      <c r="D784" t="s">
        <v>67</v>
      </c>
      <c r="E784" t="s">
        <v>828</v>
      </c>
      <c r="F784" s="13">
        <v>1</v>
      </c>
      <c r="G784" s="14">
        <v>3125.2</v>
      </c>
      <c r="H784" s="13">
        <v>321</v>
      </c>
      <c r="I784" t="s">
        <v>77</v>
      </c>
    </row>
    <row r="785" spans="1:9" x14ac:dyDescent="0.3">
      <c r="A785">
        <v>8593</v>
      </c>
      <c r="B785" t="s">
        <v>830</v>
      </c>
      <c r="C785" t="s">
        <v>92</v>
      </c>
      <c r="D785" t="s">
        <v>64</v>
      </c>
      <c r="E785" t="s">
        <v>828</v>
      </c>
      <c r="F785" s="13">
        <v>3</v>
      </c>
      <c r="G785" s="14">
        <v>10756.73</v>
      </c>
      <c r="H785" s="13">
        <v>321</v>
      </c>
      <c r="I785" t="s">
        <v>77</v>
      </c>
    </row>
    <row r="786" spans="1:9" x14ac:dyDescent="0.3">
      <c r="A786">
        <v>8601</v>
      </c>
      <c r="B786" t="s">
        <v>756</v>
      </c>
      <c r="C786" t="s">
        <v>137</v>
      </c>
      <c r="D786" t="s">
        <v>64</v>
      </c>
      <c r="E786" t="s">
        <v>828</v>
      </c>
      <c r="F786" s="13">
        <v>1</v>
      </c>
      <c r="G786" s="14">
        <v>562.29</v>
      </c>
      <c r="H786" s="13">
        <v>321</v>
      </c>
      <c r="I786" t="s">
        <v>77</v>
      </c>
    </row>
    <row r="787" spans="1:9" x14ac:dyDescent="0.3">
      <c r="A787">
        <v>14</v>
      </c>
      <c r="B787" t="s">
        <v>744</v>
      </c>
      <c r="C787" t="s">
        <v>97</v>
      </c>
      <c r="D787" t="s">
        <v>65</v>
      </c>
      <c r="E787" t="s">
        <v>831</v>
      </c>
      <c r="F787" s="13">
        <v>2</v>
      </c>
      <c r="G787" s="14">
        <v>3031.29</v>
      </c>
      <c r="H787" s="13">
        <v>320</v>
      </c>
      <c r="I787" t="s">
        <v>77</v>
      </c>
    </row>
    <row r="788" spans="1:9" x14ac:dyDescent="0.3">
      <c r="A788">
        <v>1861</v>
      </c>
      <c r="B788" t="s">
        <v>582</v>
      </c>
      <c r="C788" t="s">
        <v>114</v>
      </c>
      <c r="D788" t="s">
        <v>66</v>
      </c>
      <c r="E788" t="s">
        <v>831</v>
      </c>
      <c r="F788" s="13">
        <v>1</v>
      </c>
      <c r="G788" s="14">
        <v>635.21</v>
      </c>
      <c r="H788" s="13">
        <v>320</v>
      </c>
      <c r="I788" t="s">
        <v>77</v>
      </c>
    </row>
    <row r="789" spans="1:9" x14ac:dyDescent="0.3">
      <c r="A789">
        <v>3196</v>
      </c>
      <c r="B789" t="s">
        <v>702</v>
      </c>
      <c r="C789" t="s">
        <v>90</v>
      </c>
      <c r="D789" t="s">
        <v>66</v>
      </c>
      <c r="E789" t="s">
        <v>831</v>
      </c>
      <c r="F789" s="13">
        <v>1</v>
      </c>
      <c r="G789" s="14">
        <v>140.38999999999999</v>
      </c>
      <c r="H789" s="13">
        <v>320</v>
      </c>
      <c r="I789" t="s">
        <v>77</v>
      </c>
    </row>
    <row r="790" spans="1:9" x14ac:dyDescent="0.3">
      <c r="A790">
        <v>6088</v>
      </c>
      <c r="B790" t="s">
        <v>257</v>
      </c>
      <c r="C790" t="s">
        <v>114</v>
      </c>
      <c r="D790" t="s">
        <v>66</v>
      </c>
      <c r="E790" t="s">
        <v>831</v>
      </c>
      <c r="F790" s="13">
        <v>4</v>
      </c>
      <c r="G790" s="14">
        <v>14170.19</v>
      </c>
      <c r="H790" s="13">
        <v>320</v>
      </c>
      <c r="I790" t="s">
        <v>77</v>
      </c>
    </row>
    <row r="791" spans="1:9" x14ac:dyDescent="0.3">
      <c r="A791">
        <v>8249</v>
      </c>
      <c r="B791" t="s">
        <v>832</v>
      </c>
      <c r="C791" t="s">
        <v>133</v>
      </c>
      <c r="D791" t="s">
        <v>64</v>
      </c>
      <c r="E791" t="s">
        <v>831</v>
      </c>
      <c r="F791" s="13">
        <v>3</v>
      </c>
      <c r="G791" s="14">
        <v>8071.83</v>
      </c>
      <c r="H791" s="13">
        <v>320</v>
      </c>
      <c r="I791" t="s">
        <v>77</v>
      </c>
    </row>
    <row r="792" spans="1:9" x14ac:dyDescent="0.3">
      <c r="A792">
        <v>8409</v>
      </c>
      <c r="B792" t="s">
        <v>766</v>
      </c>
      <c r="C792" t="s">
        <v>123</v>
      </c>
      <c r="D792" t="s">
        <v>65</v>
      </c>
      <c r="E792" t="s">
        <v>831</v>
      </c>
      <c r="F792" s="13">
        <v>3</v>
      </c>
      <c r="G792" s="14">
        <v>3901.12</v>
      </c>
      <c r="H792" s="13">
        <v>320</v>
      </c>
      <c r="I792" t="s">
        <v>77</v>
      </c>
    </row>
    <row r="793" spans="1:9" x14ac:dyDescent="0.3">
      <c r="A793">
        <v>8510</v>
      </c>
      <c r="B793" t="s">
        <v>833</v>
      </c>
      <c r="C793" t="s">
        <v>249</v>
      </c>
      <c r="D793" t="s">
        <v>67</v>
      </c>
      <c r="E793" t="s">
        <v>831</v>
      </c>
      <c r="F793" s="13">
        <v>1</v>
      </c>
      <c r="G793" s="14">
        <v>143.16999999999999</v>
      </c>
      <c r="H793" s="13">
        <v>320</v>
      </c>
      <c r="I793" t="s">
        <v>77</v>
      </c>
    </row>
    <row r="794" spans="1:9" x14ac:dyDescent="0.3">
      <c r="A794">
        <v>8552</v>
      </c>
      <c r="B794" t="s">
        <v>540</v>
      </c>
      <c r="C794" t="s">
        <v>473</v>
      </c>
      <c r="D794" t="s">
        <v>68</v>
      </c>
      <c r="E794" t="s">
        <v>831</v>
      </c>
      <c r="F794" s="13">
        <v>2</v>
      </c>
      <c r="G794" s="14">
        <v>9752.77</v>
      </c>
      <c r="H794" s="13">
        <v>320</v>
      </c>
      <c r="I794" t="s">
        <v>77</v>
      </c>
    </row>
    <row r="795" spans="1:9" x14ac:dyDescent="0.3">
      <c r="A795">
        <v>5236</v>
      </c>
      <c r="B795" t="s">
        <v>834</v>
      </c>
      <c r="C795" t="s">
        <v>100</v>
      </c>
      <c r="D795" t="s">
        <v>66</v>
      </c>
      <c r="E795" t="s">
        <v>835</v>
      </c>
      <c r="F795" s="13">
        <v>2</v>
      </c>
      <c r="G795" s="14">
        <v>2845.99</v>
      </c>
      <c r="H795" s="13">
        <v>319</v>
      </c>
      <c r="I795" t="s">
        <v>77</v>
      </c>
    </row>
    <row r="796" spans="1:9" x14ac:dyDescent="0.3">
      <c r="A796">
        <v>5692</v>
      </c>
      <c r="B796" t="s">
        <v>694</v>
      </c>
      <c r="C796" t="s">
        <v>92</v>
      </c>
      <c r="D796" t="s">
        <v>64</v>
      </c>
      <c r="E796" t="s">
        <v>835</v>
      </c>
      <c r="F796" s="13">
        <v>1</v>
      </c>
      <c r="G796" s="14">
        <v>870.4</v>
      </c>
      <c r="H796" s="13">
        <v>319</v>
      </c>
      <c r="I796" t="s">
        <v>77</v>
      </c>
    </row>
    <row r="797" spans="1:9" x14ac:dyDescent="0.3">
      <c r="A797">
        <v>8061</v>
      </c>
      <c r="B797" t="s">
        <v>836</v>
      </c>
      <c r="C797" t="s">
        <v>249</v>
      </c>
      <c r="D797" t="s">
        <v>67</v>
      </c>
      <c r="E797" t="s">
        <v>835</v>
      </c>
      <c r="F797" s="13">
        <v>1</v>
      </c>
      <c r="G797" s="14">
        <v>626.51</v>
      </c>
      <c r="H797" s="13">
        <v>319</v>
      </c>
      <c r="I797" t="s">
        <v>77</v>
      </c>
    </row>
    <row r="798" spans="1:9" x14ac:dyDescent="0.3">
      <c r="A798">
        <v>8983</v>
      </c>
      <c r="B798" t="s">
        <v>205</v>
      </c>
      <c r="C798" t="s">
        <v>92</v>
      </c>
      <c r="D798" t="s">
        <v>64</v>
      </c>
      <c r="E798" t="s">
        <v>835</v>
      </c>
      <c r="F798" s="13">
        <v>2</v>
      </c>
      <c r="G798" s="14">
        <v>2673.19</v>
      </c>
      <c r="H798" s="13">
        <v>319</v>
      </c>
      <c r="I798" t="s">
        <v>77</v>
      </c>
    </row>
    <row r="799" spans="1:9" x14ac:dyDescent="0.3">
      <c r="A799">
        <v>1421</v>
      </c>
      <c r="B799" t="s">
        <v>313</v>
      </c>
      <c r="C799" t="s">
        <v>123</v>
      </c>
      <c r="D799" t="s">
        <v>65</v>
      </c>
      <c r="E799" t="s">
        <v>837</v>
      </c>
      <c r="F799" s="13">
        <v>1</v>
      </c>
      <c r="G799" s="14">
        <v>3321.61</v>
      </c>
      <c r="H799" s="13">
        <v>318</v>
      </c>
      <c r="I799" t="s">
        <v>77</v>
      </c>
    </row>
    <row r="800" spans="1:9" x14ac:dyDescent="0.3">
      <c r="A800">
        <v>2155</v>
      </c>
      <c r="B800" t="s">
        <v>838</v>
      </c>
      <c r="C800" t="s">
        <v>92</v>
      </c>
      <c r="D800" t="s">
        <v>64</v>
      </c>
      <c r="E800" t="s">
        <v>837</v>
      </c>
      <c r="F800" s="13">
        <v>1</v>
      </c>
      <c r="G800" s="14">
        <v>307.08999999999997</v>
      </c>
      <c r="H800" s="13">
        <v>318</v>
      </c>
      <c r="I800" t="s">
        <v>77</v>
      </c>
    </row>
    <row r="801" spans="1:9" x14ac:dyDescent="0.3">
      <c r="A801">
        <v>2190</v>
      </c>
      <c r="B801" t="s">
        <v>396</v>
      </c>
      <c r="C801" t="s">
        <v>92</v>
      </c>
      <c r="D801" t="s">
        <v>64</v>
      </c>
      <c r="E801" t="s">
        <v>837</v>
      </c>
      <c r="F801" s="13">
        <v>1</v>
      </c>
      <c r="G801" s="14">
        <v>4126.8</v>
      </c>
      <c r="H801" s="13">
        <v>318</v>
      </c>
      <c r="I801" t="s">
        <v>77</v>
      </c>
    </row>
    <row r="802" spans="1:9" x14ac:dyDescent="0.3">
      <c r="A802">
        <v>2282</v>
      </c>
      <c r="B802" t="s">
        <v>839</v>
      </c>
      <c r="C802" t="s">
        <v>92</v>
      </c>
      <c r="D802" t="s">
        <v>64</v>
      </c>
      <c r="E802" t="s">
        <v>837</v>
      </c>
      <c r="F802" s="13">
        <v>2</v>
      </c>
      <c r="G802" s="14">
        <v>4387</v>
      </c>
      <c r="H802" s="13">
        <v>318</v>
      </c>
      <c r="I802" t="s">
        <v>77</v>
      </c>
    </row>
    <row r="803" spans="1:9" x14ac:dyDescent="0.3">
      <c r="A803">
        <v>2596</v>
      </c>
      <c r="B803" t="s">
        <v>840</v>
      </c>
      <c r="C803" t="s">
        <v>137</v>
      </c>
      <c r="D803" t="s">
        <v>64</v>
      </c>
      <c r="E803" t="s">
        <v>837</v>
      </c>
      <c r="F803" s="13">
        <v>1</v>
      </c>
      <c r="G803" s="14">
        <v>6565.46</v>
      </c>
      <c r="H803" s="13">
        <v>318</v>
      </c>
      <c r="I803" t="s">
        <v>77</v>
      </c>
    </row>
    <row r="804" spans="1:9" x14ac:dyDescent="0.3">
      <c r="A804">
        <v>3619</v>
      </c>
      <c r="B804" t="s">
        <v>342</v>
      </c>
      <c r="C804" t="s">
        <v>137</v>
      </c>
      <c r="D804" t="s">
        <v>64</v>
      </c>
      <c r="E804" t="s">
        <v>837</v>
      </c>
      <c r="F804" s="13">
        <v>1</v>
      </c>
      <c r="G804" s="14">
        <v>2026.19</v>
      </c>
      <c r="H804" s="13">
        <v>318</v>
      </c>
      <c r="I804" t="s">
        <v>77</v>
      </c>
    </row>
    <row r="805" spans="1:9" x14ac:dyDescent="0.3">
      <c r="A805">
        <v>3940</v>
      </c>
      <c r="B805" t="s">
        <v>668</v>
      </c>
      <c r="C805" t="s">
        <v>92</v>
      </c>
      <c r="D805" t="s">
        <v>64</v>
      </c>
      <c r="E805" t="s">
        <v>837</v>
      </c>
      <c r="F805" s="13">
        <v>1</v>
      </c>
      <c r="G805" s="14">
        <v>83.99</v>
      </c>
      <c r="H805" s="13">
        <v>318</v>
      </c>
      <c r="I805" t="s">
        <v>77</v>
      </c>
    </row>
    <row r="806" spans="1:9" x14ac:dyDescent="0.3">
      <c r="A806">
        <v>7971</v>
      </c>
      <c r="B806" t="s">
        <v>342</v>
      </c>
      <c r="C806" t="s">
        <v>249</v>
      </c>
      <c r="D806" t="s">
        <v>67</v>
      </c>
      <c r="E806" t="s">
        <v>837</v>
      </c>
      <c r="F806" s="13">
        <v>1</v>
      </c>
      <c r="G806" s="14">
        <v>2783.01</v>
      </c>
      <c r="H806" s="13">
        <v>318</v>
      </c>
      <c r="I806" t="s">
        <v>77</v>
      </c>
    </row>
    <row r="807" spans="1:9" x14ac:dyDescent="0.3">
      <c r="A807">
        <v>8267</v>
      </c>
      <c r="B807" t="s">
        <v>841</v>
      </c>
      <c r="C807" t="s">
        <v>90</v>
      </c>
      <c r="D807" t="s">
        <v>66</v>
      </c>
      <c r="E807" t="s">
        <v>837</v>
      </c>
      <c r="F807" s="13">
        <v>1</v>
      </c>
      <c r="G807" s="14">
        <v>3615.34</v>
      </c>
      <c r="H807" s="13">
        <v>318</v>
      </c>
      <c r="I807" t="s">
        <v>77</v>
      </c>
    </row>
    <row r="808" spans="1:9" x14ac:dyDescent="0.3">
      <c r="A808">
        <v>110</v>
      </c>
      <c r="B808" t="s">
        <v>842</v>
      </c>
      <c r="C808" t="s">
        <v>92</v>
      </c>
      <c r="D808" t="s">
        <v>64</v>
      </c>
      <c r="E808" t="s">
        <v>843</v>
      </c>
      <c r="F808" s="13">
        <v>1</v>
      </c>
      <c r="G808" s="14">
        <v>1311.64</v>
      </c>
      <c r="H808" s="13">
        <v>317</v>
      </c>
      <c r="I808" t="s">
        <v>77</v>
      </c>
    </row>
    <row r="809" spans="1:9" x14ac:dyDescent="0.3">
      <c r="A809">
        <v>1339</v>
      </c>
      <c r="B809" t="s">
        <v>514</v>
      </c>
      <c r="C809" t="s">
        <v>133</v>
      </c>
      <c r="D809" t="s">
        <v>64</v>
      </c>
      <c r="E809" t="s">
        <v>843</v>
      </c>
      <c r="F809" s="13">
        <v>1</v>
      </c>
      <c r="G809" s="14">
        <v>2220.04</v>
      </c>
      <c r="H809" s="13">
        <v>317</v>
      </c>
      <c r="I809" t="s">
        <v>77</v>
      </c>
    </row>
    <row r="810" spans="1:9" x14ac:dyDescent="0.3">
      <c r="A810">
        <v>1973</v>
      </c>
      <c r="B810" t="s">
        <v>191</v>
      </c>
      <c r="C810" t="s">
        <v>92</v>
      </c>
      <c r="D810" t="s">
        <v>64</v>
      </c>
      <c r="E810" t="s">
        <v>843</v>
      </c>
      <c r="F810" s="13">
        <v>1</v>
      </c>
      <c r="G810" s="14">
        <v>3766.28</v>
      </c>
      <c r="H810" s="13">
        <v>317</v>
      </c>
      <c r="I810" t="s">
        <v>77</v>
      </c>
    </row>
    <row r="811" spans="1:9" x14ac:dyDescent="0.3">
      <c r="A811">
        <v>2799</v>
      </c>
      <c r="B811" t="s">
        <v>302</v>
      </c>
      <c r="C811" t="s">
        <v>156</v>
      </c>
      <c r="D811" t="s">
        <v>68</v>
      </c>
      <c r="E811" t="s">
        <v>843</v>
      </c>
      <c r="F811" s="13">
        <v>2</v>
      </c>
      <c r="G811" s="14">
        <v>6574.1</v>
      </c>
      <c r="H811" s="13">
        <v>317</v>
      </c>
      <c r="I811" t="s">
        <v>77</v>
      </c>
    </row>
    <row r="812" spans="1:9" x14ac:dyDescent="0.3">
      <c r="A812">
        <v>5018</v>
      </c>
      <c r="B812" t="s">
        <v>167</v>
      </c>
      <c r="C812" t="s">
        <v>137</v>
      </c>
      <c r="D812" t="s">
        <v>64</v>
      </c>
      <c r="E812" t="s">
        <v>843</v>
      </c>
      <c r="F812" s="13">
        <v>2</v>
      </c>
      <c r="G812" s="14">
        <v>1240.56</v>
      </c>
      <c r="H812" s="13">
        <v>317</v>
      </c>
      <c r="I812" t="s">
        <v>77</v>
      </c>
    </row>
    <row r="813" spans="1:9" x14ac:dyDescent="0.3">
      <c r="A813">
        <v>8273</v>
      </c>
      <c r="B813" t="s">
        <v>94</v>
      </c>
      <c r="C813" t="s">
        <v>133</v>
      </c>
      <c r="D813" t="s">
        <v>64</v>
      </c>
      <c r="E813" t="s">
        <v>843</v>
      </c>
      <c r="F813" s="13">
        <v>1</v>
      </c>
      <c r="G813" s="14">
        <v>6017.14</v>
      </c>
      <c r="H813" s="13">
        <v>317</v>
      </c>
      <c r="I813" t="s">
        <v>77</v>
      </c>
    </row>
    <row r="814" spans="1:9" x14ac:dyDescent="0.3">
      <c r="A814">
        <v>5414</v>
      </c>
      <c r="B814" t="s">
        <v>844</v>
      </c>
      <c r="C814" t="s">
        <v>133</v>
      </c>
      <c r="D814" t="s">
        <v>64</v>
      </c>
      <c r="E814" t="s">
        <v>845</v>
      </c>
      <c r="F814" s="13">
        <v>3</v>
      </c>
      <c r="G814" s="14">
        <v>4209.3500000000004</v>
      </c>
      <c r="H814" s="13">
        <v>316</v>
      </c>
      <c r="I814" t="s">
        <v>77</v>
      </c>
    </row>
    <row r="815" spans="1:9" x14ac:dyDescent="0.3">
      <c r="A815">
        <v>6729</v>
      </c>
      <c r="B815" t="s">
        <v>846</v>
      </c>
      <c r="C815" t="s">
        <v>100</v>
      </c>
      <c r="D815" t="s">
        <v>66</v>
      </c>
      <c r="E815" t="s">
        <v>845</v>
      </c>
      <c r="F815" s="13">
        <v>1</v>
      </c>
      <c r="G815" s="14">
        <v>333.16</v>
      </c>
      <c r="H815" s="13">
        <v>316</v>
      </c>
      <c r="I815" t="s">
        <v>77</v>
      </c>
    </row>
    <row r="816" spans="1:9" x14ac:dyDescent="0.3">
      <c r="A816">
        <v>7622</v>
      </c>
      <c r="B816" t="s">
        <v>274</v>
      </c>
      <c r="C816" t="s">
        <v>97</v>
      </c>
      <c r="D816" t="s">
        <v>65</v>
      </c>
      <c r="E816" t="s">
        <v>845</v>
      </c>
      <c r="F816" s="13">
        <v>2</v>
      </c>
      <c r="G816" s="14">
        <v>5701.07</v>
      </c>
      <c r="H816" s="13">
        <v>316</v>
      </c>
      <c r="I816" t="s">
        <v>77</v>
      </c>
    </row>
    <row r="817" spans="1:9" x14ac:dyDescent="0.3">
      <c r="A817">
        <v>7717</v>
      </c>
      <c r="B817" t="s">
        <v>847</v>
      </c>
      <c r="C817" t="s">
        <v>92</v>
      </c>
      <c r="D817" t="s">
        <v>64</v>
      </c>
      <c r="E817" t="s">
        <v>845</v>
      </c>
      <c r="F817" s="13">
        <v>1</v>
      </c>
      <c r="G817" s="14">
        <v>1546.4</v>
      </c>
      <c r="H817" s="13">
        <v>316</v>
      </c>
      <c r="I817" t="s">
        <v>77</v>
      </c>
    </row>
    <row r="818" spans="1:9" x14ac:dyDescent="0.3">
      <c r="A818">
        <v>1569</v>
      </c>
      <c r="B818" t="s">
        <v>848</v>
      </c>
      <c r="C818" t="s">
        <v>90</v>
      </c>
      <c r="D818" t="s">
        <v>66</v>
      </c>
      <c r="E818" t="s">
        <v>849</v>
      </c>
      <c r="F818" s="13">
        <v>1</v>
      </c>
      <c r="G818" s="14">
        <v>245.89</v>
      </c>
      <c r="H818" s="13">
        <v>315</v>
      </c>
      <c r="I818" t="s">
        <v>77</v>
      </c>
    </row>
    <row r="819" spans="1:9" x14ac:dyDescent="0.3">
      <c r="A819">
        <v>1738</v>
      </c>
      <c r="B819" t="s">
        <v>426</v>
      </c>
      <c r="C819" t="s">
        <v>92</v>
      </c>
      <c r="D819" t="s">
        <v>64</v>
      </c>
      <c r="E819" t="s">
        <v>849</v>
      </c>
      <c r="F819" s="13">
        <v>1</v>
      </c>
      <c r="G819" s="14">
        <v>772.94</v>
      </c>
      <c r="H819" s="13">
        <v>315</v>
      </c>
      <c r="I819" t="s">
        <v>77</v>
      </c>
    </row>
    <row r="820" spans="1:9" x14ac:dyDescent="0.3">
      <c r="A820">
        <v>3746</v>
      </c>
      <c r="B820" t="s">
        <v>850</v>
      </c>
      <c r="C820" t="s">
        <v>92</v>
      </c>
      <c r="D820" t="s">
        <v>64</v>
      </c>
      <c r="E820" t="s">
        <v>849</v>
      </c>
      <c r="F820" s="13">
        <v>2</v>
      </c>
      <c r="G820" s="14">
        <v>4705.05</v>
      </c>
      <c r="H820" s="13">
        <v>315</v>
      </c>
      <c r="I820" t="s">
        <v>77</v>
      </c>
    </row>
    <row r="821" spans="1:9" x14ac:dyDescent="0.3">
      <c r="A821">
        <v>6490</v>
      </c>
      <c r="B821" t="s">
        <v>323</v>
      </c>
      <c r="C821" t="s">
        <v>137</v>
      </c>
      <c r="D821" t="s">
        <v>64</v>
      </c>
      <c r="E821" t="s">
        <v>849</v>
      </c>
      <c r="F821" s="13">
        <v>1</v>
      </c>
      <c r="G821" s="14">
        <v>995.92</v>
      </c>
      <c r="H821" s="13">
        <v>315</v>
      </c>
      <c r="I821" t="s">
        <v>77</v>
      </c>
    </row>
    <row r="822" spans="1:9" x14ac:dyDescent="0.3">
      <c r="A822">
        <v>864</v>
      </c>
      <c r="B822" t="s">
        <v>851</v>
      </c>
      <c r="C822" t="s">
        <v>137</v>
      </c>
      <c r="D822" t="s">
        <v>64</v>
      </c>
      <c r="E822" t="s">
        <v>852</v>
      </c>
      <c r="F822" s="13">
        <v>1</v>
      </c>
      <c r="G822" s="14">
        <v>9092.5300000000007</v>
      </c>
      <c r="H822" s="13">
        <v>314</v>
      </c>
      <c r="I822" t="s">
        <v>77</v>
      </c>
    </row>
    <row r="823" spans="1:9" x14ac:dyDescent="0.3">
      <c r="A823">
        <v>1331</v>
      </c>
      <c r="B823" t="s">
        <v>519</v>
      </c>
      <c r="C823" t="s">
        <v>133</v>
      </c>
      <c r="D823" t="s">
        <v>64</v>
      </c>
      <c r="E823" t="s">
        <v>852</v>
      </c>
      <c r="F823" s="13">
        <v>2</v>
      </c>
      <c r="G823" s="14">
        <v>4970.6400000000003</v>
      </c>
      <c r="H823" s="13">
        <v>314</v>
      </c>
      <c r="I823" t="s">
        <v>77</v>
      </c>
    </row>
    <row r="824" spans="1:9" x14ac:dyDescent="0.3">
      <c r="A824">
        <v>2843</v>
      </c>
      <c r="B824" t="s">
        <v>853</v>
      </c>
      <c r="C824" t="s">
        <v>100</v>
      </c>
      <c r="D824" t="s">
        <v>66</v>
      </c>
      <c r="E824" t="s">
        <v>852</v>
      </c>
      <c r="F824" s="13">
        <v>1</v>
      </c>
      <c r="G824" s="14">
        <v>136.88</v>
      </c>
      <c r="H824" s="13">
        <v>314</v>
      </c>
      <c r="I824" t="s">
        <v>77</v>
      </c>
    </row>
    <row r="825" spans="1:9" x14ac:dyDescent="0.3">
      <c r="A825">
        <v>5779</v>
      </c>
      <c r="B825" t="s">
        <v>242</v>
      </c>
      <c r="C825" t="s">
        <v>114</v>
      </c>
      <c r="D825" t="s">
        <v>66</v>
      </c>
      <c r="E825" t="s">
        <v>852</v>
      </c>
      <c r="F825" s="13">
        <v>1</v>
      </c>
      <c r="G825" s="14">
        <v>1489.12</v>
      </c>
      <c r="H825" s="13">
        <v>314</v>
      </c>
      <c r="I825" t="s">
        <v>77</v>
      </c>
    </row>
    <row r="826" spans="1:9" x14ac:dyDescent="0.3">
      <c r="A826">
        <v>5968</v>
      </c>
      <c r="B826" t="s">
        <v>854</v>
      </c>
      <c r="C826" t="s">
        <v>137</v>
      </c>
      <c r="D826" t="s">
        <v>64</v>
      </c>
      <c r="E826" t="s">
        <v>852</v>
      </c>
      <c r="F826" s="13">
        <v>2</v>
      </c>
      <c r="G826" s="14">
        <v>8312.25</v>
      </c>
      <c r="H826" s="13">
        <v>314</v>
      </c>
      <c r="I826" t="s">
        <v>77</v>
      </c>
    </row>
    <row r="827" spans="1:9" x14ac:dyDescent="0.3">
      <c r="A827">
        <v>7856</v>
      </c>
      <c r="B827" t="s">
        <v>415</v>
      </c>
      <c r="C827" t="s">
        <v>137</v>
      </c>
      <c r="D827" t="s">
        <v>64</v>
      </c>
      <c r="E827" t="s">
        <v>852</v>
      </c>
      <c r="F827" s="13">
        <v>1</v>
      </c>
      <c r="G827" s="14">
        <v>1529.86</v>
      </c>
      <c r="H827" s="13">
        <v>314</v>
      </c>
      <c r="I827" t="s">
        <v>77</v>
      </c>
    </row>
    <row r="828" spans="1:9" x14ac:dyDescent="0.3">
      <c r="A828">
        <v>2271</v>
      </c>
      <c r="B828" t="s">
        <v>333</v>
      </c>
      <c r="C828" t="s">
        <v>87</v>
      </c>
      <c r="D828" t="s">
        <v>64</v>
      </c>
      <c r="E828" t="s">
        <v>855</v>
      </c>
      <c r="F828" s="13">
        <v>1</v>
      </c>
      <c r="G828" s="14">
        <v>2452.96</v>
      </c>
      <c r="H828" s="13">
        <v>313</v>
      </c>
      <c r="I828" t="s">
        <v>77</v>
      </c>
    </row>
    <row r="829" spans="1:9" x14ac:dyDescent="0.3">
      <c r="A829">
        <v>3811</v>
      </c>
      <c r="B829" t="s">
        <v>318</v>
      </c>
      <c r="C829" t="s">
        <v>95</v>
      </c>
      <c r="D829" t="s">
        <v>65</v>
      </c>
      <c r="E829" t="s">
        <v>855</v>
      </c>
      <c r="F829" s="13">
        <v>2</v>
      </c>
      <c r="G829" s="14">
        <v>2382.54</v>
      </c>
      <c r="H829" s="13">
        <v>313</v>
      </c>
      <c r="I829" t="s">
        <v>77</v>
      </c>
    </row>
    <row r="830" spans="1:9" x14ac:dyDescent="0.3">
      <c r="A830">
        <v>5546</v>
      </c>
      <c r="B830" t="s">
        <v>856</v>
      </c>
      <c r="C830" t="s">
        <v>97</v>
      </c>
      <c r="D830" t="s">
        <v>65</v>
      </c>
      <c r="E830" t="s">
        <v>855</v>
      </c>
      <c r="F830" s="13">
        <v>1</v>
      </c>
      <c r="G830" s="14">
        <v>2205.11</v>
      </c>
      <c r="H830" s="13">
        <v>313</v>
      </c>
      <c r="I830" t="s">
        <v>77</v>
      </c>
    </row>
    <row r="831" spans="1:9" x14ac:dyDescent="0.3">
      <c r="A831">
        <v>5646</v>
      </c>
      <c r="B831" t="s">
        <v>857</v>
      </c>
      <c r="C831" t="s">
        <v>92</v>
      </c>
      <c r="D831" t="s">
        <v>64</v>
      </c>
      <c r="E831" t="s">
        <v>855</v>
      </c>
      <c r="F831" s="13">
        <v>4</v>
      </c>
      <c r="G831" s="14">
        <v>4447.83</v>
      </c>
      <c r="H831" s="13">
        <v>313</v>
      </c>
      <c r="I831" t="s">
        <v>77</v>
      </c>
    </row>
    <row r="832" spans="1:9" x14ac:dyDescent="0.3">
      <c r="A832">
        <v>7452</v>
      </c>
      <c r="B832" t="s">
        <v>251</v>
      </c>
      <c r="C832" t="s">
        <v>95</v>
      </c>
      <c r="D832" t="s">
        <v>65</v>
      </c>
      <c r="E832" t="s">
        <v>855</v>
      </c>
      <c r="F832" s="13">
        <v>1</v>
      </c>
      <c r="G832" s="14">
        <v>129.9</v>
      </c>
      <c r="H832" s="13">
        <v>313</v>
      </c>
      <c r="I832" t="s">
        <v>77</v>
      </c>
    </row>
    <row r="833" spans="1:9" x14ac:dyDescent="0.3">
      <c r="A833">
        <v>8735</v>
      </c>
      <c r="B833" t="s">
        <v>321</v>
      </c>
      <c r="C833" t="s">
        <v>103</v>
      </c>
      <c r="D833" t="s">
        <v>67</v>
      </c>
      <c r="E833" t="s">
        <v>855</v>
      </c>
      <c r="F833" s="13">
        <v>3</v>
      </c>
      <c r="G833" s="14">
        <v>12754.24</v>
      </c>
      <c r="H833" s="13">
        <v>313</v>
      </c>
      <c r="I833" t="s">
        <v>77</v>
      </c>
    </row>
    <row r="834" spans="1:9" x14ac:dyDescent="0.3">
      <c r="A834">
        <v>104</v>
      </c>
      <c r="B834" t="s">
        <v>204</v>
      </c>
      <c r="C834" t="s">
        <v>90</v>
      </c>
      <c r="D834" t="s">
        <v>66</v>
      </c>
      <c r="E834" t="s">
        <v>858</v>
      </c>
      <c r="F834" s="13">
        <v>2</v>
      </c>
      <c r="G834" s="14">
        <v>1265.3800000000001</v>
      </c>
      <c r="H834" s="13">
        <v>312</v>
      </c>
      <c r="I834" t="s">
        <v>77</v>
      </c>
    </row>
    <row r="835" spans="1:9" x14ac:dyDescent="0.3">
      <c r="A835">
        <v>3184</v>
      </c>
      <c r="B835" t="s">
        <v>460</v>
      </c>
      <c r="C835" t="s">
        <v>133</v>
      </c>
      <c r="D835" t="s">
        <v>64</v>
      </c>
      <c r="E835" t="s">
        <v>858</v>
      </c>
      <c r="F835" s="13">
        <v>2</v>
      </c>
      <c r="G835" s="14">
        <v>3524.92</v>
      </c>
      <c r="H835" s="13">
        <v>312</v>
      </c>
      <c r="I835" t="s">
        <v>77</v>
      </c>
    </row>
    <row r="836" spans="1:9" x14ac:dyDescent="0.3">
      <c r="A836">
        <v>3556</v>
      </c>
      <c r="B836" t="s">
        <v>199</v>
      </c>
      <c r="C836" t="s">
        <v>92</v>
      </c>
      <c r="D836" t="s">
        <v>64</v>
      </c>
      <c r="E836" t="s">
        <v>858</v>
      </c>
      <c r="F836" s="13">
        <v>1</v>
      </c>
      <c r="G836" s="14">
        <v>4321.71</v>
      </c>
      <c r="H836" s="13">
        <v>312</v>
      </c>
      <c r="I836" t="s">
        <v>77</v>
      </c>
    </row>
    <row r="837" spans="1:9" x14ac:dyDescent="0.3">
      <c r="A837">
        <v>6380</v>
      </c>
      <c r="B837" t="s">
        <v>286</v>
      </c>
      <c r="C837" t="s">
        <v>95</v>
      </c>
      <c r="D837" t="s">
        <v>65</v>
      </c>
      <c r="E837" t="s">
        <v>858</v>
      </c>
      <c r="F837" s="13">
        <v>1</v>
      </c>
      <c r="G837" s="14">
        <v>885.37</v>
      </c>
      <c r="H837" s="13">
        <v>312</v>
      </c>
      <c r="I837" t="s">
        <v>77</v>
      </c>
    </row>
    <row r="838" spans="1:9" x14ac:dyDescent="0.3">
      <c r="A838">
        <v>8354</v>
      </c>
      <c r="B838" t="s">
        <v>274</v>
      </c>
      <c r="C838" t="s">
        <v>92</v>
      </c>
      <c r="D838" t="s">
        <v>64</v>
      </c>
      <c r="E838" t="s">
        <v>858</v>
      </c>
      <c r="F838" s="13">
        <v>2</v>
      </c>
      <c r="G838" s="14">
        <v>4393.1099999999997</v>
      </c>
      <c r="H838" s="13">
        <v>312</v>
      </c>
      <c r="I838" t="s">
        <v>77</v>
      </c>
    </row>
    <row r="839" spans="1:9" x14ac:dyDescent="0.3">
      <c r="A839">
        <v>8728</v>
      </c>
      <c r="B839" t="s">
        <v>859</v>
      </c>
      <c r="C839" t="s">
        <v>100</v>
      </c>
      <c r="D839" t="s">
        <v>66</v>
      </c>
      <c r="E839" t="s">
        <v>858</v>
      </c>
      <c r="F839" s="13">
        <v>1</v>
      </c>
      <c r="G839" s="14">
        <v>2563.4299999999998</v>
      </c>
      <c r="H839" s="13">
        <v>312</v>
      </c>
      <c r="I839" t="s">
        <v>77</v>
      </c>
    </row>
    <row r="840" spans="1:9" x14ac:dyDescent="0.3">
      <c r="A840">
        <v>399</v>
      </c>
      <c r="B840" t="s">
        <v>94</v>
      </c>
      <c r="C840" t="s">
        <v>123</v>
      </c>
      <c r="D840" t="s">
        <v>65</v>
      </c>
      <c r="E840" t="s">
        <v>860</v>
      </c>
      <c r="F840" s="13">
        <v>1</v>
      </c>
      <c r="G840" s="14">
        <v>3347.58</v>
      </c>
      <c r="H840" s="13">
        <v>311</v>
      </c>
      <c r="I840" t="s">
        <v>77</v>
      </c>
    </row>
    <row r="841" spans="1:9" x14ac:dyDescent="0.3">
      <c r="A841">
        <v>2369</v>
      </c>
      <c r="B841" t="s">
        <v>861</v>
      </c>
      <c r="C841" t="s">
        <v>97</v>
      </c>
      <c r="D841" t="s">
        <v>65</v>
      </c>
      <c r="E841" t="s">
        <v>860</v>
      </c>
      <c r="F841" s="13">
        <v>1</v>
      </c>
      <c r="G841" s="14">
        <v>322.55</v>
      </c>
      <c r="H841" s="13">
        <v>311</v>
      </c>
      <c r="I841" t="s">
        <v>77</v>
      </c>
    </row>
    <row r="842" spans="1:9" x14ac:dyDescent="0.3">
      <c r="A842">
        <v>6102</v>
      </c>
      <c r="B842" t="s">
        <v>862</v>
      </c>
      <c r="C842" t="s">
        <v>114</v>
      </c>
      <c r="D842" t="s">
        <v>66</v>
      </c>
      <c r="E842" t="s">
        <v>860</v>
      </c>
      <c r="F842" s="13">
        <v>5</v>
      </c>
      <c r="G842" s="14">
        <v>6159.39</v>
      </c>
      <c r="H842" s="13">
        <v>311</v>
      </c>
      <c r="I842" t="s">
        <v>77</v>
      </c>
    </row>
    <row r="843" spans="1:9" x14ac:dyDescent="0.3">
      <c r="A843">
        <v>6250</v>
      </c>
      <c r="B843" t="s">
        <v>863</v>
      </c>
      <c r="C843" t="s">
        <v>97</v>
      </c>
      <c r="D843" t="s">
        <v>65</v>
      </c>
      <c r="E843" t="s">
        <v>860</v>
      </c>
      <c r="F843" s="13">
        <v>2</v>
      </c>
      <c r="G843" s="14">
        <v>5435.64</v>
      </c>
      <c r="H843" s="13">
        <v>311</v>
      </c>
      <c r="I843" t="s">
        <v>77</v>
      </c>
    </row>
    <row r="844" spans="1:9" x14ac:dyDescent="0.3">
      <c r="A844">
        <v>6274</v>
      </c>
      <c r="B844" t="s">
        <v>864</v>
      </c>
      <c r="C844" t="s">
        <v>92</v>
      </c>
      <c r="D844" t="s">
        <v>64</v>
      </c>
      <c r="E844" t="s">
        <v>860</v>
      </c>
      <c r="F844" s="13">
        <v>3</v>
      </c>
      <c r="G844" s="14">
        <v>3077.87</v>
      </c>
      <c r="H844" s="13">
        <v>311</v>
      </c>
      <c r="I844" t="s">
        <v>77</v>
      </c>
    </row>
    <row r="845" spans="1:9" x14ac:dyDescent="0.3">
      <c r="A845">
        <v>8800</v>
      </c>
      <c r="B845" t="s">
        <v>313</v>
      </c>
      <c r="C845" t="s">
        <v>92</v>
      </c>
      <c r="D845" t="s">
        <v>64</v>
      </c>
      <c r="E845" t="s">
        <v>860</v>
      </c>
      <c r="F845" s="13">
        <v>1</v>
      </c>
      <c r="G845" s="14">
        <v>1445.8</v>
      </c>
      <c r="H845" s="13">
        <v>311</v>
      </c>
      <c r="I845" t="s">
        <v>77</v>
      </c>
    </row>
    <row r="846" spans="1:9" x14ac:dyDescent="0.3">
      <c r="A846">
        <v>910</v>
      </c>
      <c r="B846" t="s">
        <v>163</v>
      </c>
      <c r="C846" t="s">
        <v>123</v>
      </c>
      <c r="D846" t="s">
        <v>65</v>
      </c>
      <c r="E846" t="s">
        <v>865</v>
      </c>
      <c r="F846" s="13">
        <v>1</v>
      </c>
      <c r="G846" s="14">
        <v>3501.99</v>
      </c>
      <c r="H846" s="13">
        <v>310</v>
      </c>
      <c r="I846" t="s">
        <v>77</v>
      </c>
    </row>
    <row r="847" spans="1:9" x14ac:dyDescent="0.3">
      <c r="A847">
        <v>1412</v>
      </c>
      <c r="B847" t="s">
        <v>404</v>
      </c>
      <c r="C847" t="s">
        <v>95</v>
      </c>
      <c r="D847" t="s">
        <v>65</v>
      </c>
      <c r="E847" t="s">
        <v>865</v>
      </c>
      <c r="F847" s="13">
        <v>1</v>
      </c>
      <c r="G847" s="14">
        <v>5488.55</v>
      </c>
      <c r="H847" s="13">
        <v>310</v>
      </c>
      <c r="I847" t="s">
        <v>77</v>
      </c>
    </row>
    <row r="848" spans="1:9" x14ac:dyDescent="0.3">
      <c r="A848">
        <v>2363</v>
      </c>
      <c r="B848" t="s">
        <v>866</v>
      </c>
      <c r="C848" t="s">
        <v>87</v>
      </c>
      <c r="D848" t="s">
        <v>64</v>
      </c>
      <c r="E848" t="s">
        <v>865</v>
      </c>
      <c r="F848" s="13">
        <v>1</v>
      </c>
      <c r="G848" s="14">
        <v>612.88</v>
      </c>
      <c r="H848" s="13">
        <v>310</v>
      </c>
      <c r="I848" t="s">
        <v>77</v>
      </c>
    </row>
    <row r="849" spans="1:9" x14ac:dyDescent="0.3">
      <c r="A849">
        <v>4289</v>
      </c>
      <c r="B849" t="s">
        <v>588</v>
      </c>
      <c r="C849" t="s">
        <v>137</v>
      </c>
      <c r="D849" t="s">
        <v>64</v>
      </c>
      <c r="E849" t="s">
        <v>865</v>
      </c>
      <c r="F849" s="13">
        <v>1</v>
      </c>
      <c r="G849" s="14">
        <v>153.88999999999999</v>
      </c>
      <c r="H849" s="13">
        <v>310</v>
      </c>
      <c r="I849" t="s">
        <v>77</v>
      </c>
    </row>
    <row r="850" spans="1:9" x14ac:dyDescent="0.3">
      <c r="A850">
        <v>5288</v>
      </c>
      <c r="B850" t="s">
        <v>167</v>
      </c>
      <c r="C850" t="s">
        <v>123</v>
      </c>
      <c r="D850" t="s">
        <v>65</v>
      </c>
      <c r="E850" t="s">
        <v>865</v>
      </c>
      <c r="F850" s="13">
        <v>3</v>
      </c>
      <c r="G850" s="14">
        <v>8091.09</v>
      </c>
      <c r="H850" s="13">
        <v>310</v>
      </c>
      <c r="I850" t="s">
        <v>77</v>
      </c>
    </row>
    <row r="851" spans="1:9" x14ac:dyDescent="0.3">
      <c r="A851">
        <v>184</v>
      </c>
      <c r="B851" t="s">
        <v>867</v>
      </c>
      <c r="C851" t="s">
        <v>121</v>
      </c>
      <c r="D851" t="s">
        <v>67</v>
      </c>
      <c r="E851" t="s">
        <v>868</v>
      </c>
      <c r="F851" s="13">
        <v>1</v>
      </c>
      <c r="G851" s="14">
        <v>1260.6099999999999</v>
      </c>
      <c r="H851" s="13">
        <v>309</v>
      </c>
      <c r="I851" t="s">
        <v>77</v>
      </c>
    </row>
    <row r="852" spans="1:9" x14ac:dyDescent="0.3">
      <c r="A852">
        <v>2049</v>
      </c>
      <c r="B852" t="s">
        <v>460</v>
      </c>
      <c r="C852" t="s">
        <v>92</v>
      </c>
      <c r="D852" t="s">
        <v>64</v>
      </c>
      <c r="E852" t="s">
        <v>868</v>
      </c>
      <c r="F852" s="13">
        <v>2</v>
      </c>
      <c r="G852" s="14">
        <v>1880.1</v>
      </c>
      <c r="H852" s="13">
        <v>309</v>
      </c>
      <c r="I852" t="s">
        <v>77</v>
      </c>
    </row>
    <row r="853" spans="1:9" x14ac:dyDescent="0.3">
      <c r="A853">
        <v>2176</v>
      </c>
      <c r="B853" t="s">
        <v>323</v>
      </c>
      <c r="C853" t="s">
        <v>92</v>
      </c>
      <c r="D853" t="s">
        <v>64</v>
      </c>
      <c r="E853" t="s">
        <v>868</v>
      </c>
      <c r="F853" s="13">
        <v>1</v>
      </c>
      <c r="G853" s="14">
        <v>3016.73</v>
      </c>
      <c r="H853" s="13">
        <v>309</v>
      </c>
      <c r="I853" t="s">
        <v>77</v>
      </c>
    </row>
    <row r="854" spans="1:9" x14ac:dyDescent="0.3">
      <c r="A854">
        <v>6857</v>
      </c>
      <c r="B854" t="s">
        <v>293</v>
      </c>
      <c r="C854" t="s">
        <v>92</v>
      </c>
      <c r="D854" t="s">
        <v>64</v>
      </c>
      <c r="E854" t="s">
        <v>868</v>
      </c>
      <c r="F854" s="13">
        <v>2</v>
      </c>
      <c r="G854" s="14">
        <v>1231.73</v>
      </c>
      <c r="H854" s="13">
        <v>309</v>
      </c>
      <c r="I854" t="s">
        <v>77</v>
      </c>
    </row>
    <row r="855" spans="1:9" x14ac:dyDescent="0.3">
      <c r="A855">
        <v>7533</v>
      </c>
      <c r="B855" t="s">
        <v>851</v>
      </c>
      <c r="C855" t="s">
        <v>114</v>
      </c>
      <c r="D855" t="s">
        <v>66</v>
      </c>
      <c r="E855" t="s">
        <v>869</v>
      </c>
      <c r="F855" s="13">
        <v>1</v>
      </c>
      <c r="G855" s="14">
        <v>336.88</v>
      </c>
      <c r="H855" s="13">
        <v>308</v>
      </c>
      <c r="I855" t="s">
        <v>77</v>
      </c>
    </row>
    <row r="856" spans="1:9" x14ac:dyDescent="0.3">
      <c r="A856">
        <v>8177</v>
      </c>
      <c r="B856" t="s">
        <v>286</v>
      </c>
      <c r="C856" t="s">
        <v>90</v>
      </c>
      <c r="D856" t="s">
        <v>66</v>
      </c>
      <c r="E856" t="s">
        <v>869</v>
      </c>
      <c r="F856" s="13">
        <v>5</v>
      </c>
      <c r="G856" s="14">
        <v>9178.1</v>
      </c>
      <c r="H856" s="13">
        <v>308</v>
      </c>
      <c r="I856" t="s">
        <v>77</v>
      </c>
    </row>
    <row r="857" spans="1:9" x14ac:dyDescent="0.3">
      <c r="A857">
        <v>158</v>
      </c>
      <c r="B857" t="s">
        <v>870</v>
      </c>
      <c r="C857" t="s">
        <v>114</v>
      </c>
      <c r="D857" t="s">
        <v>66</v>
      </c>
      <c r="E857" t="s">
        <v>871</v>
      </c>
      <c r="F857" s="13">
        <v>2</v>
      </c>
      <c r="G857" s="14">
        <v>6207.08</v>
      </c>
      <c r="H857" s="13">
        <v>307</v>
      </c>
      <c r="I857" t="s">
        <v>77</v>
      </c>
    </row>
    <row r="858" spans="1:9" x14ac:dyDescent="0.3">
      <c r="A858">
        <v>2130</v>
      </c>
      <c r="B858" t="s">
        <v>649</v>
      </c>
      <c r="C858" t="s">
        <v>90</v>
      </c>
      <c r="D858" t="s">
        <v>66</v>
      </c>
      <c r="E858" t="s">
        <v>871</v>
      </c>
      <c r="F858" s="13">
        <v>1</v>
      </c>
      <c r="G858" s="14">
        <v>311.77999999999997</v>
      </c>
      <c r="H858" s="13">
        <v>307</v>
      </c>
      <c r="I858" t="s">
        <v>77</v>
      </c>
    </row>
    <row r="859" spans="1:9" x14ac:dyDescent="0.3">
      <c r="A859">
        <v>4132</v>
      </c>
      <c r="B859" t="s">
        <v>514</v>
      </c>
      <c r="C859" t="s">
        <v>137</v>
      </c>
      <c r="D859" t="s">
        <v>64</v>
      </c>
      <c r="E859" t="s">
        <v>871</v>
      </c>
      <c r="F859" s="13">
        <v>1</v>
      </c>
      <c r="G859" s="14">
        <v>3775.65</v>
      </c>
      <c r="H859" s="13">
        <v>307</v>
      </c>
      <c r="I859" t="s">
        <v>77</v>
      </c>
    </row>
    <row r="860" spans="1:9" x14ac:dyDescent="0.3">
      <c r="A860">
        <v>4381</v>
      </c>
      <c r="B860" t="s">
        <v>259</v>
      </c>
      <c r="C860" t="s">
        <v>103</v>
      </c>
      <c r="D860" t="s">
        <v>67</v>
      </c>
      <c r="E860" t="s">
        <v>871</v>
      </c>
      <c r="F860" s="13">
        <v>2</v>
      </c>
      <c r="G860" s="14">
        <v>629.65</v>
      </c>
      <c r="H860" s="13">
        <v>307</v>
      </c>
      <c r="I860" t="s">
        <v>77</v>
      </c>
    </row>
    <row r="861" spans="1:9" x14ac:dyDescent="0.3">
      <c r="A861">
        <v>5324</v>
      </c>
      <c r="B861" t="s">
        <v>872</v>
      </c>
      <c r="C861" t="s">
        <v>95</v>
      </c>
      <c r="D861" t="s">
        <v>65</v>
      </c>
      <c r="E861" t="s">
        <v>871</v>
      </c>
      <c r="F861" s="13">
        <v>1</v>
      </c>
      <c r="G861" s="14">
        <v>916.1</v>
      </c>
      <c r="H861" s="13">
        <v>307</v>
      </c>
      <c r="I861" t="s">
        <v>77</v>
      </c>
    </row>
    <row r="862" spans="1:9" x14ac:dyDescent="0.3">
      <c r="A862">
        <v>7645</v>
      </c>
      <c r="B862" t="s">
        <v>321</v>
      </c>
      <c r="C862" t="s">
        <v>137</v>
      </c>
      <c r="D862" t="s">
        <v>64</v>
      </c>
      <c r="E862" t="s">
        <v>871</v>
      </c>
      <c r="F862" s="13">
        <v>2</v>
      </c>
      <c r="G862" s="14">
        <v>451.26</v>
      </c>
      <c r="H862" s="13">
        <v>307</v>
      </c>
      <c r="I862" t="s">
        <v>77</v>
      </c>
    </row>
    <row r="863" spans="1:9" x14ac:dyDescent="0.3">
      <c r="A863">
        <v>1537</v>
      </c>
      <c r="B863" t="s">
        <v>259</v>
      </c>
      <c r="C863" t="s">
        <v>123</v>
      </c>
      <c r="D863" t="s">
        <v>65</v>
      </c>
      <c r="E863" t="s">
        <v>873</v>
      </c>
      <c r="F863" s="13">
        <v>1</v>
      </c>
      <c r="G863" s="14">
        <v>294.47000000000003</v>
      </c>
      <c r="H863" s="13">
        <v>306</v>
      </c>
      <c r="I863" t="s">
        <v>77</v>
      </c>
    </row>
    <row r="864" spans="1:9" x14ac:dyDescent="0.3">
      <c r="A864">
        <v>1985</v>
      </c>
      <c r="B864" t="s">
        <v>505</v>
      </c>
      <c r="C864" t="s">
        <v>137</v>
      </c>
      <c r="D864" t="s">
        <v>64</v>
      </c>
      <c r="E864" t="s">
        <v>873</v>
      </c>
      <c r="F864" s="13">
        <v>2</v>
      </c>
      <c r="G864" s="14">
        <v>4386.71</v>
      </c>
      <c r="H864" s="13">
        <v>306</v>
      </c>
      <c r="I864" t="s">
        <v>77</v>
      </c>
    </row>
    <row r="865" spans="1:9" x14ac:dyDescent="0.3">
      <c r="A865">
        <v>2840</v>
      </c>
      <c r="B865" t="s">
        <v>641</v>
      </c>
      <c r="C865" t="s">
        <v>137</v>
      </c>
      <c r="D865" t="s">
        <v>64</v>
      </c>
      <c r="E865" t="s">
        <v>873</v>
      </c>
      <c r="F865" s="13">
        <v>1</v>
      </c>
      <c r="G865" s="14">
        <v>4035.18</v>
      </c>
      <c r="H865" s="13">
        <v>306</v>
      </c>
      <c r="I865" t="s">
        <v>77</v>
      </c>
    </row>
    <row r="866" spans="1:9" x14ac:dyDescent="0.3">
      <c r="A866">
        <v>3067</v>
      </c>
      <c r="B866" t="s">
        <v>636</v>
      </c>
      <c r="C866" t="s">
        <v>114</v>
      </c>
      <c r="D866" t="s">
        <v>66</v>
      </c>
      <c r="E866" t="s">
        <v>873</v>
      </c>
      <c r="F866" s="13">
        <v>1</v>
      </c>
      <c r="G866" s="14">
        <v>767.46</v>
      </c>
      <c r="H866" s="13">
        <v>306</v>
      </c>
      <c r="I866" t="s">
        <v>77</v>
      </c>
    </row>
    <row r="867" spans="1:9" x14ac:dyDescent="0.3">
      <c r="A867">
        <v>5942</v>
      </c>
      <c r="B867" t="s">
        <v>874</v>
      </c>
      <c r="C867" t="s">
        <v>90</v>
      </c>
      <c r="D867" t="s">
        <v>66</v>
      </c>
      <c r="E867" t="s">
        <v>873</v>
      </c>
      <c r="F867" s="13">
        <v>3</v>
      </c>
      <c r="G867" s="14">
        <v>1863.92</v>
      </c>
      <c r="H867" s="13">
        <v>306</v>
      </c>
      <c r="I867" t="s">
        <v>77</v>
      </c>
    </row>
    <row r="868" spans="1:9" x14ac:dyDescent="0.3">
      <c r="A868">
        <v>6663</v>
      </c>
      <c r="B868" t="s">
        <v>875</v>
      </c>
      <c r="C868" t="s">
        <v>92</v>
      </c>
      <c r="D868" t="s">
        <v>64</v>
      </c>
      <c r="E868" t="s">
        <v>873</v>
      </c>
      <c r="F868" s="13">
        <v>1</v>
      </c>
      <c r="G868" s="14">
        <v>3577.78</v>
      </c>
      <c r="H868" s="13">
        <v>306</v>
      </c>
      <c r="I868" t="s">
        <v>77</v>
      </c>
    </row>
    <row r="869" spans="1:9" x14ac:dyDescent="0.3">
      <c r="A869">
        <v>6687</v>
      </c>
      <c r="B869" t="s">
        <v>751</v>
      </c>
      <c r="C869" t="s">
        <v>137</v>
      </c>
      <c r="D869" t="s">
        <v>64</v>
      </c>
      <c r="E869" t="s">
        <v>873</v>
      </c>
      <c r="F869" s="13">
        <v>1</v>
      </c>
      <c r="G869" s="14">
        <v>1906.28</v>
      </c>
      <c r="H869" s="13">
        <v>306</v>
      </c>
      <c r="I869" t="s">
        <v>77</v>
      </c>
    </row>
    <row r="870" spans="1:9" x14ac:dyDescent="0.3">
      <c r="A870">
        <v>6798</v>
      </c>
      <c r="B870" t="s">
        <v>274</v>
      </c>
      <c r="C870" t="s">
        <v>90</v>
      </c>
      <c r="D870" t="s">
        <v>66</v>
      </c>
      <c r="E870" t="s">
        <v>873</v>
      </c>
      <c r="F870" s="13">
        <v>1</v>
      </c>
      <c r="G870" s="14">
        <v>122.38</v>
      </c>
      <c r="H870" s="13">
        <v>306</v>
      </c>
      <c r="I870" t="s">
        <v>77</v>
      </c>
    </row>
    <row r="871" spans="1:9" x14ac:dyDescent="0.3">
      <c r="A871">
        <v>6885</v>
      </c>
      <c r="B871" t="s">
        <v>342</v>
      </c>
      <c r="C871" t="s">
        <v>92</v>
      </c>
      <c r="D871" t="s">
        <v>64</v>
      </c>
      <c r="E871" t="s">
        <v>873</v>
      </c>
      <c r="F871" s="13">
        <v>2</v>
      </c>
      <c r="G871" s="14">
        <v>3947.14</v>
      </c>
      <c r="H871" s="13">
        <v>306</v>
      </c>
      <c r="I871" t="s">
        <v>77</v>
      </c>
    </row>
    <row r="872" spans="1:9" x14ac:dyDescent="0.3">
      <c r="A872">
        <v>7810</v>
      </c>
      <c r="B872" t="s">
        <v>876</v>
      </c>
      <c r="C872" t="s">
        <v>137</v>
      </c>
      <c r="D872" t="s">
        <v>64</v>
      </c>
      <c r="E872" t="s">
        <v>873</v>
      </c>
      <c r="F872" s="13">
        <v>2</v>
      </c>
      <c r="G872" s="14">
        <v>6997.51</v>
      </c>
      <c r="H872" s="13">
        <v>306</v>
      </c>
      <c r="I872" t="s">
        <v>77</v>
      </c>
    </row>
    <row r="873" spans="1:9" x14ac:dyDescent="0.3">
      <c r="A873">
        <v>7889</v>
      </c>
      <c r="B873" t="s">
        <v>877</v>
      </c>
      <c r="C873" t="s">
        <v>95</v>
      </c>
      <c r="D873" t="s">
        <v>65</v>
      </c>
      <c r="E873" t="s">
        <v>873</v>
      </c>
      <c r="F873" s="13">
        <v>1</v>
      </c>
      <c r="G873" s="14">
        <v>1096.3499999999999</v>
      </c>
      <c r="H873" s="13">
        <v>306</v>
      </c>
      <c r="I873" t="s">
        <v>77</v>
      </c>
    </row>
    <row r="874" spans="1:9" x14ac:dyDescent="0.3">
      <c r="A874">
        <v>1447</v>
      </c>
      <c r="B874" t="s">
        <v>878</v>
      </c>
      <c r="C874" t="s">
        <v>103</v>
      </c>
      <c r="D874" t="s">
        <v>67</v>
      </c>
      <c r="E874" t="s">
        <v>879</v>
      </c>
      <c r="F874" s="13">
        <v>2</v>
      </c>
      <c r="G874" s="14">
        <v>4795.68</v>
      </c>
      <c r="H874" s="13">
        <v>305</v>
      </c>
      <c r="I874" t="s">
        <v>77</v>
      </c>
    </row>
    <row r="875" spans="1:9" x14ac:dyDescent="0.3">
      <c r="A875">
        <v>2646</v>
      </c>
      <c r="B875" t="s">
        <v>534</v>
      </c>
      <c r="C875" t="s">
        <v>114</v>
      </c>
      <c r="D875" t="s">
        <v>66</v>
      </c>
      <c r="E875" t="s">
        <v>879</v>
      </c>
      <c r="F875" s="13">
        <v>2</v>
      </c>
      <c r="G875" s="14">
        <v>6908.37</v>
      </c>
      <c r="H875" s="13">
        <v>305</v>
      </c>
      <c r="I875" t="s">
        <v>77</v>
      </c>
    </row>
    <row r="876" spans="1:9" x14ac:dyDescent="0.3">
      <c r="A876">
        <v>8551</v>
      </c>
      <c r="B876" t="s">
        <v>582</v>
      </c>
      <c r="C876" t="s">
        <v>90</v>
      </c>
      <c r="D876" t="s">
        <v>66</v>
      </c>
      <c r="E876" t="s">
        <v>879</v>
      </c>
      <c r="F876" s="13">
        <v>3</v>
      </c>
      <c r="G876" s="14">
        <v>11369.26</v>
      </c>
      <c r="H876" s="13">
        <v>305</v>
      </c>
      <c r="I876" t="s">
        <v>77</v>
      </c>
    </row>
    <row r="877" spans="1:9" x14ac:dyDescent="0.3">
      <c r="A877">
        <v>189</v>
      </c>
      <c r="B877" t="s">
        <v>373</v>
      </c>
      <c r="C877" t="s">
        <v>90</v>
      </c>
      <c r="D877" t="s">
        <v>66</v>
      </c>
      <c r="E877" t="s">
        <v>880</v>
      </c>
      <c r="F877" s="13">
        <v>1</v>
      </c>
      <c r="G877" s="14">
        <v>1446.21</v>
      </c>
      <c r="H877" s="13">
        <v>304</v>
      </c>
      <c r="I877" t="s">
        <v>77</v>
      </c>
    </row>
    <row r="878" spans="1:9" x14ac:dyDescent="0.3">
      <c r="A878">
        <v>708</v>
      </c>
      <c r="B878" t="s">
        <v>881</v>
      </c>
      <c r="C878" t="s">
        <v>92</v>
      </c>
      <c r="D878" t="s">
        <v>64</v>
      </c>
      <c r="E878" t="s">
        <v>880</v>
      </c>
      <c r="F878" s="13">
        <v>2</v>
      </c>
      <c r="G878" s="14">
        <v>697.58</v>
      </c>
      <c r="H878" s="13">
        <v>304</v>
      </c>
      <c r="I878" t="s">
        <v>77</v>
      </c>
    </row>
    <row r="879" spans="1:9" x14ac:dyDescent="0.3">
      <c r="A879">
        <v>1047</v>
      </c>
      <c r="B879" t="s">
        <v>821</v>
      </c>
      <c r="C879" t="s">
        <v>92</v>
      </c>
      <c r="D879" t="s">
        <v>64</v>
      </c>
      <c r="E879" t="s">
        <v>880</v>
      </c>
      <c r="F879" s="13">
        <v>1</v>
      </c>
      <c r="G879" s="14">
        <v>140.33000000000001</v>
      </c>
      <c r="H879" s="13">
        <v>304</v>
      </c>
      <c r="I879" t="s">
        <v>77</v>
      </c>
    </row>
    <row r="880" spans="1:9" x14ac:dyDescent="0.3">
      <c r="A880">
        <v>2277</v>
      </c>
      <c r="B880" t="s">
        <v>120</v>
      </c>
      <c r="C880" t="s">
        <v>95</v>
      </c>
      <c r="D880" t="s">
        <v>65</v>
      </c>
      <c r="E880" t="s">
        <v>880</v>
      </c>
      <c r="F880" s="13">
        <v>1</v>
      </c>
      <c r="G880" s="14">
        <v>638.16999999999996</v>
      </c>
      <c r="H880" s="13">
        <v>304</v>
      </c>
      <c r="I880" t="s">
        <v>77</v>
      </c>
    </row>
    <row r="881" spans="1:9" x14ac:dyDescent="0.3">
      <c r="A881">
        <v>3243</v>
      </c>
      <c r="B881" t="s">
        <v>882</v>
      </c>
      <c r="C881" t="s">
        <v>103</v>
      </c>
      <c r="D881" t="s">
        <v>67</v>
      </c>
      <c r="E881" t="s">
        <v>880</v>
      </c>
      <c r="F881" s="13">
        <v>1</v>
      </c>
      <c r="G881" s="14">
        <v>85.05</v>
      </c>
      <c r="H881" s="13">
        <v>304</v>
      </c>
      <c r="I881" t="s">
        <v>77</v>
      </c>
    </row>
    <row r="882" spans="1:9" x14ac:dyDescent="0.3">
      <c r="A882">
        <v>3673</v>
      </c>
      <c r="B882" t="s">
        <v>191</v>
      </c>
      <c r="C882" t="s">
        <v>95</v>
      </c>
      <c r="D882" t="s">
        <v>65</v>
      </c>
      <c r="E882" t="s">
        <v>880</v>
      </c>
      <c r="F882" s="13">
        <v>1</v>
      </c>
      <c r="G882" s="14">
        <v>175.56</v>
      </c>
      <c r="H882" s="13">
        <v>304</v>
      </c>
      <c r="I882" t="s">
        <v>77</v>
      </c>
    </row>
    <row r="883" spans="1:9" x14ac:dyDescent="0.3">
      <c r="A883">
        <v>3946</v>
      </c>
      <c r="B883" t="s">
        <v>286</v>
      </c>
      <c r="C883" t="s">
        <v>249</v>
      </c>
      <c r="D883" t="s">
        <v>67</v>
      </c>
      <c r="E883" t="s">
        <v>880</v>
      </c>
      <c r="F883" s="13">
        <v>2</v>
      </c>
      <c r="G883" s="14">
        <v>4728.0200000000004</v>
      </c>
      <c r="H883" s="13">
        <v>304</v>
      </c>
      <c r="I883" t="s">
        <v>77</v>
      </c>
    </row>
    <row r="884" spans="1:9" x14ac:dyDescent="0.3">
      <c r="A884">
        <v>4258</v>
      </c>
      <c r="B884" t="s">
        <v>532</v>
      </c>
      <c r="C884" t="s">
        <v>92</v>
      </c>
      <c r="D884" t="s">
        <v>64</v>
      </c>
      <c r="E884" t="s">
        <v>880</v>
      </c>
      <c r="F884" s="13">
        <v>1</v>
      </c>
      <c r="G884" s="14">
        <v>3362.38</v>
      </c>
      <c r="H884" s="13">
        <v>304</v>
      </c>
      <c r="I884" t="s">
        <v>77</v>
      </c>
    </row>
    <row r="885" spans="1:9" x14ac:dyDescent="0.3">
      <c r="A885">
        <v>5202</v>
      </c>
      <c r="B885" t="s">
        <v>151</v>
      </c>
      <c r="C885" t="s">
        <v>92</v>
      </c>
      <c r="D885" t="s">
        <v>64</v>
      </c>
      <c r="E885" t="s">
        <v>880</v>
      </c>
      <c r="F885" s="13">
        <v>3</v>
      </c>
      <c r="G885" s="14">
        <v>1998.61</v>
      </c>
      <c r="H885" s="13">
        <v>304</v>
      </c>
      <c r="I885" t="s">
        <v>77</v>
      </c>
    </row>
    <row r="886" spans="1:9" x14ac:dyDescent="0.3">
      <c r="A886">
        <v>5704</v>
      </c>
      <c r="B886" t="s">
        <v>848</v>
      </c>
      <c r="C886" t="s">
        <v>92</v>
      </c>
      <c r="D886" t="s">
        <v>64</v>
      </c>
      <c r="E886" t="s">
        <v>880</v>
      </c>
      <c r="F886" s="13">
        <v>3</v>
      </c>
      <c r="G886" s="14">
        <v>10471.98</v>
      </c>
      <c r="H886" s="13">
        <v>304</v>
      </c>
      <c r="I886" t="s">
        <v>77</v>
      </c>
    </row>
    <row r="887" spans="1:9" x14ac:dyDescent="0.3">
      <c r="A887">
        <v>8474</v>
      </c>
      <c r="B887" t="s">
        <v>883</v>
      </c>
      <c r="C887" t="s">
        <v>92</v>
      </c>
      <c r="D887" t="s">
        <v>64</v>
      </c>
      <c r="E887" t="s">
        <v>880</v>
      </c>
      <c r="F887" s="13">
        <v>1</v>
      </c>
      <c r="G887" s="14">
        <v>418.65</v>
      </c>
      <c r="H887" s="13">
        <v>304</v>
      </c>
      <c r="I887" t="s">
        <v>77</v>
      </c>
    </row>
    <row r="888" spans="1:9" x14ac:dyDescent="0.3">
      <c r="A888">
        <v>330</v>
      </c>
      <c r="B888" t="s">
        <v>884</v>
      </c>
      <c r="C888" t="s">
        <v>92</v>
      </c>
      <c r="D888" t="s">
        <v>64</v>
      </c>
      <c r="E888" t="s">
        <v>885</v>
      </c>
      <c r="F888" s="13">
        <v>2</v>
      </c>
      <c r="G888" s="14">
        <v>1902.09</v>
      </c>
      <c r="H888" s="13">
        <v>303</v>
      </c>
      <c r="I888" t="s">
        <v>77</v>
      </c>
    </row>
    <row r="889" spans="1:9" x14ac:dyDescent="0.3">
      <c r="A889">
        <v>2882</v>
      </c>
      <c r="B889" t="s">
        <v>886</v>
      </c>
      <c r="C889" t="s">
        <v>137</v>
      </c>
      <c r="D889" t="s">
        <v>64</v>
      </c>
      <c r="E889" t="s">
        <v>885</v>
      </c>
      <c r="F889" s="13">
        <v>1</v>
      </c>
      <c r="G889" s="14">
        <v>2178.52</v>
      </c>
      <c r="H889" s="13">
        <v>303</v>
      </c>
      <c r="I889" t="s">
        <v>77</v>
      </c>
    </row>
    <row r="890" spans="1:9" x14ac:dyDescent="0.3">
      <c r="A890">
        <v>3389</v>
      </c>
      <c r="B890" t="s">
        <v>237</v>
      </c>
      <c r="C890" t="s">
        <v>92</v>
      </c>
      <c r="D890" t="s">
        <v>64</v>
      </c>
      <c r="E890" t="s">
        <v>885</v>
      </c>
      <c r="F890" s="13">
        <v>2</v>
      </c>
      <c r="G890" s="14">
        <v>2855.84</v>
      </c>
      <c r="H890" s="13">
        <v>303</v>
      </c>
      <c r="I890" t="s">
        <v>77</v>
      </c>
    </row>
    <row r="891" spans="1:9" x14ac:dyDescent="0.3">
      <c r="A891">
        <v>8207</v>
      </c>
      <c r="B891" t="s">
        <v>534</v>
      </c>
      <c r="C891" t="s">
        <v>137</v>
      </c>
      <c r="D891" t="s">
        <v>64</v>
      </c>
      <c r="E891" t="s">
        <v>885</v>
      </c>
      <c r="F891" s="13">
        <v>1</v>
      </c>
      <c r="G891" s="14">
        <v>1855.15</v>
      </c>
      <c r="H891" s="13">
        <v>303</v>
      </c>
      <c r="I891" t="s">
        <v>77</v>
      </c>
    </row>
    <row r="892" spans="1:9" x14ac:dyDescent="0.3">
      <c r="A892">
        <v>2394</v>
      </c>
      <c r="B892" t="s">
        <v>703</v>
      </c>
      <c r="C892" t="s">
        <v>90</v>
      </c>
      <c r="D892" t="s">
        <v>66</v>
      </c>
      <c r="E892" t="s">
        <v>887</v>
      </c>
      <c r="F892" s="13">
        <v>1</v>
      </c>
      <c r="G892" s="14">
        <v>1554.78</v>
      </c>
      <c r="H892" s="13">
        <v>302</v>
      </c>
      <c r="I892" t="s">
        <v>77</v>
      </c>
    </row>
    <row r="893" spans="1:9" x14ac:dyDescent="0.3">
      <c r="A893">
        <v>4336</v>
      </c>
      <c r="B893" t="s">
        <v>135</v>
      </c>
      <c r="C893" t="s">
        <v>137</v>
      </c>
      <c r="D893" t="s">
        <v>64</v>
      </c>
      <c r="E893" t="s">
        <v>887</v>
      </c>
      <c r="F893" s="13">
        <v>1</v>
      </c>
      <c r="G893" s="14">
        <v>1593.7</v>
      </c>
      <c r="H893" s="13">
        <v>302</v>
      </c>
      <c r="I893" t="s">
        <v>77</v>
      </c>
    </row>
    <row r="894" spans="1:9" x14ac:dyDescent="0.3">
      <c r="A894">
        <v>5122</v>
      </c>
      <c r="B894" t="s">
        <v>888</v>
      </c>
      <c r="C894" t="s">
        <v>133</v>
      </c>
      <c r="D894" t="s">
        <v>64</v>
      </c>
      <c r="E894" t="s">
        <v>887</v>
      </c>
      <c r="F894" s="13">
        <v>1</v>
      </c>
      <c r="G894" s="14">
        <v>4024.55</v>
      </c>
      <c r="H894" s="13">
        <v>302</v>
      </c>
      <c r="I894" t="s">
        <v>77</v>
      </c>
    </row>
    <row r="895" spans="1:9" x14ac:dyDescent="0.3">
      <c r="A895">
        <v>5342</v>
      </c>
      <c r="B895" t="s">
        <v>204</v>
      </c>
      <c r="C895" t="s">
        <v>103</v>
      </c>
      <c r="D895" t="s">
        <v>67</v>
      </c>
      <c r="E895" t="s">
        <v>887</v>
      </c>
      <c r="F895" s="13">
        <v>1</v>
      </c>
      <c r="G895" s="14">
        <v>1829.31</v>
      </c>
      <c r="H895" s="13">
        <v>302</v>
      </c>
      <c r="I895" t="s">
        <v>77</v>
      </c>
    </row>
    <row r="896" spans="1:9" x14ac:dyDescent="0.3">
      <c r="A896">
        <v>6505</v>
      </c>
      <c r="B896" t="s">
        <v>889</v>
      </c>
      <c r="C896" t="s">
        <v>249</v>
      </c>
      <c r="D896" t="s">
        <v>67</v>
      </c>
      <c r="E896" t="s">
        <v>887</v>
      </c>
      <c r="F896" s="13">
        <v>3</v>
      </c>
      <c r="G896" s="14">
        <v>10760.54</v>
      </c>
      <c r="H896" s="13">
        <v>302</v>
      </c>
      <c r="I896" t="s">
        <v>77</v>
      </c>
    </row>
    <row r="897" spans="1:9" x14ac:dyDescent="0.3">
      <c r="A897">
        <v>27</v>
      </c>
      <c r="B897" t="s">
        <v>371</v>
      </c>
      <c r="C897" t="s">
        <v>90</v>
      </c>
      <c r="D897" t="s">
        <v>66</v>
      </c>
      <c r="E897" t="s">
        <v>890</v>
      </c>
      <c r="F897" s="13">
        <v>2</v>
      </c>
      <c r="G897" s="14">
        <v>3932.36</v>
      </c>
      <c r="H897" s="13">
        <v>301</v>
      </c>
      <c r="I897" t="s">
        <v>77</v>
      </c>
    </row>
    <row r="898" spans="1:9" x14ac:dyDescent="0.3">
      <c r="A898">
        <v>3677</v>
      </c>
      <c r="B898" t="s">
        <v>466</v>
      </c>
      <c r="C898" t="s">
        <v>133</v>
      </c>
      <c r="D898" t="s">
        <v>64</v>
      </c>
      <c r="E898" t="s">
        <v>890</v>
      </c>
      <c r="F898" s="13">
        <v>2</v>
      </c>
      <c r="G898" s="14">
        <v>4986.17</v>
      </c>
      <c r="H898" s="13">
        <v>301</v>
      </c>
      <c r="I898" t="s">
        <v>77</v>
      </c>
    </row>
    <row r="899" spans="1:9" x14ac:dyDescent="0.3">
      <c r="A899">
        <v>6808</v>
      </c>
      <c r="B899" t="s">
        <v>321</v>
      </c>
      <c r="C899" t="s">
        <v>133</v>
      </c>
      <c r="D899" t="s">
        <v>64</v>
      </c>
      <c r="E899" t="s">
        <v>890</v>
      </c>
      <c r="F899" s="13">
        <v>1</v>
      </c>
      <c r="G899" s="14">
        <v>4333.2299999999996</v>
      </c>
      <c r="H899" s="13">
        <v>301</v>
      </c>
      <c r="I899" t="s">
        <v>77</v>
      </c>
    </row>
    <row r="900" spans="1:9" x14ac:dyDescent="0.3">
      <c r="A900">
        <v>6950</v>
      </c>
      <c r="B900" t="s">
        <v>891</v>
      </c>
      <c r="C900" t="s">
        <v>114</v>
      </c>
      <c r="D900" t="s">
        <v>66</v>
      </c>
      <c r="E900" t="s">
        <v>890</v>
      </c>
      <c r="F900" s="13">
        <v>1</v>
      </c>
      <c r="G900" s="14">
        <v>352.98</v>
      </c>
      <c r="H900" s="13">
        <v>301</v>
      </c>
      <c r="I900" t="s">
        <v>77</v>
      </c>
    </row>
    <row r="901" spans="1:9" x14ac:dyDescent="0.3">
      <c r="A901">
        <v>8810</v>
      </c>
      <c r="B901" t="s">
        <v>289</v>
      </c>
      <c r="C901" t="s">
        <v>137</v>
      </c>
      <c r="D901" t="s">
        <v>64</v>
      </c>
      <c r="E901" t="s">
        <v>890</v>
      </c>
      <c r="F901" s="13">
        <v>1</v>
      </c>
      <c r="G901" s="14">
        <v>817.62</v>
      </c>
      <c r="H901" s="13">
        <v>301</v>
      </c>
      <c r="I901" t="s">
        <v>77</v>
      </c>
    </row>
    <row r="902" spans="1:9" x14ac:dyDescent="0.3">
      <c r="A902">
        <v>291</v>
      </c>
      <c r="B902" t="s">
        <v>274</v>
      </c>
      <c r="C902" t="s">
        <v>133</v>
      </c>
      <c r="D902" t="s">
        <v>64</v>
      </c>
      <c r="E902" t="s">
        <v>892</v>
      </c>
      <c r="F902" s="13">
        <v>3</v>
      </c>
      <c r="G902" s="14">
        <v>4400.13</v>
      </c>
      <c r="H902" s="13">
        <v>300</v>
      </c>
      <c r="I902" t="s">
        <v>77</v>
      </c>
    </row>
    <row r="903" spans="1:9" x14ac:dyDescent="0.3">
      <c r="A903">
        <v>1600</v>
      </c>
      <c r="B903" t="s">
        <v>762</v>
      </c>
      <c r="C903" t="s">
        <v>156</v>
      </c>
      <c r="D903" t="s">
        <v>68</v>
      </c>
      <c r="E903" t="s">
        <v>892</v>
      </c>
      <c r="F903" s="13">
        <v>1</v>
      </c>
      <c r="G903" s="14">
        <v>1655.83</v>
      </c>
      <c r="H903" s="13">
        <v>300</v>
      </c>
      <c r="I903" t="s">
        <v>77</v>
      </c>
    </row>
    <row r="904" spans="1:9" x14ac:dyDescent="0.3">
      <c r="A904">
        <v>2494</v>
      </c>
      <c r="B904" t="s">
        <v>893</v>
      </c>
      <c r="C904" t="s">
        <v>95</v>
      </c>
      <c r="D904" t="s">
        <v>65</v>
      </c>
      <c r="E904" t="s">
        <v>892</v>
      </c>
      <c r="F904" s="13">
        <v>2</v>
      </c>
      <c r="G904" s="14">
        <v>5143.13</v>
      </c>
      <c r="H904" s="13">
        <v>300</v>
      </c>
      <c r="I904" t="s">
        <v>77</v>
      </c>
    </row>
    <row r="905" spans="1:9" x14ac:dyDescent="0.3">
      <c r="A905">
        <v>5596</v>
      </c>
      <c r="B905" t="s">
        <v>426</v>
      </c>
      <c r="C905" t="s">
        <v>137</v>
      </c>
      <c r="D905" t="s">
        <v>64</v>
      </c>
      <c r="E905" t="s">
        <v>892</v>
      </c>
      <c r="F905" s="13">
        <v>1</v>
      </c>
      <c r="G905" s="14">
        <v>904.07</v>
      </c>
      <c r="H905" s="13">
        <v>300</v>
      </c>
      <c r="I905" t="s">
        <v>77</v>
      </c>
    </row>
    <row r="906" spans="1:9" x14ac:dyDescent="0.3">
      <c r="A906">
        <v>6483</v>
      </c>
      <c r="B906" t="s">
        <v>894</v>
      </c>
      <c r="C906" t="s">
        <v>90</v>
      </c>
      <c r="D906" t="s">
        <v>66</v>
      </c>
      <c r="E906" t="s">
        <v>892</v>
      </c>
      <c r="F906" s="13">
        <v>1</v>
      </c>
      <c r="G906" s="14">
        <v>1234.58</v>
      </c>
      <c r="H906" s="13">
        <v>300</v>
      </c>
      <c r="I906" t="s">
        <v>77</v>
      </c>
    </row>
    <row r="907" spans="1:9" x14ac:dyDescent="0.3">
      <c r="A907">
        <v>6996</v>
      </c>
      <c r="B907" t="s">
        <v>559</v>
      </c>
      <c r="C907" t="s">
        <v>114</v>
      </c>
      <c r="D907" t="s">
        <v>66</v>
      </c>
      <c r="E907" t="s">
        <v>892</v>
      </c>
      <c r="F907" s="13">
        <v>1</v>
      </c>
      <c r="G907" s="14">
        <v>50.4</v>
      </c>
      <c r="H907" s="13">
        <v>300</v>
      </c>
      <c r="I907" t="s">
        <v>77</v>
      </c>
    </row>
    <row r="908" spans="1:9" x14ac:dyDescent="0.3">
      <c r="A908">
        <v>8738</v>
      </c>
      <c r="B908" t="s">
        <v>895</v>
      </c>
      <c r="C908" t="s">
        <v>92</v>
      </c>
      <c r="D908" t="s">
        <v>64</v>
      </c>
      <c r="E908" t="s">
        <v>892</v>
      </c>
      <c r="F908" s="13">
        <v>2</v>
      </c>
      <c r="G908" s="14">
        <v>2872.2</v>
      </c>
      <c r="H908" s="13">
        <v>300</v>
      </c>
      <c r="I908" t="s">
        <v>77</v>
      </c>
    </row>
    <row r="909" spans="1:9" x14ac:dyDescent="0.3">
      <c r="A909">
        <v>5329</v>
      </c>
      <c r="B909" t="s">
        <v>191</v>
      </c>
      <c r="C909" t="s">
        <v>97</v>
      </c>
      <c r="D909" t="s">
        <v>65</v>
      </c>
      <c r="E909" t="s">
        <v>896</v>
      </c>
      <c r="F909" s="13">
        <v>1</v>
      </c>
      <c r="G909" s="14">
        <v>354.15</v>
      </c>
      <c r="H909" s="13">
        <v>299</v>
      </c>
      <c r="I909" t="s">
        <v>77</v>
      </c>
    </row>
    <row r="910" spans="1:9" x14ac:dyDescent="0.3">
      <c r="A910">
        <v>6337</v>
      </c>
      <c r="B910" t="s">
        <v>897</v>
      </c>
      <c r="C910" t="s">
        <v>121</v>
      </c>
      <c r="D910" t="s">
        <v>67</v>
      </c>
      <c r="E910" t="s">
        <v>896</v>
      </c>
      <c r="F910" s="13">
        <v>3</v>
      </c>
      <c r="G910" s="14">
        <v>1354.85</v>
      </c>
      <c r="H910" s="13">
        <v>299</v>
      </c>
      <c r="I910" t="s">
        <v>77</v>
      </c>
    </row>
    <row r="911" spans="1:9" x14ac:dyDescent="0.3">
      <c r="A911">
        <v>10</v>
      </c>
      <c r="B911" t="s">
        <v>519</v>
      </c>
      <c r="C911" t="s">
        <v>97</v>
      </c>
      <c r="D911" t="s">
        <v>65</v>
      </c>
      <c r="E911" t="s">
        <v>898</v>
      </c>
      <c r="F911" s="13">
        <v>1</v>
      </c>
      <c r="G911" s="14">
        <v>3465.67</v>
      </c>
      <c r="H911" s="13">
        <v>298</v>
      </c>
      <c r="I911" t="s">
        <v>77</v>
      </c>
    </row>
    <row r="912" spans="1:9" x14ac:dyDescent="0.3">
      <c r="A912">
        <v>79</v>
      </c>
      <c r="B912" t="s">
        <v>178</v>
      </c>
      <c r="C912" t="s">
        <v>92</v>
      </c>
      <c r="D912" t="s">
        <v>64</v>
      </c>
      <c r="E912" t="s">
        <v>898</v>
      </c>
      <c r="F912" s="13">
        <v>1</v>
      </c>
      <c r="G912" s="14">
        <v>5342.56</v>
      </c>
      <c r="H912" s="13">
        <v>298</v>
      </c>
      <c r="I912" t="s">
        <v>77</v>
      </c>
    </row>
    <row r="913" spans="1:9" x14ac:dyDescent="0.3">
      <c r="A913">
        <v>1340</v>
      </c>
      <c r="B913" t="s">
        <v>371</v>
      </c>
      <c r="C913" t="s">
        <v>123</v>
      </c>
      <c r="D913" t="s">
        <v>65</v>
      </c>
      <c r="E913" t="s">
        <v>898</v>
      </c>
      <c r="F913" s="13">
        <v>2</v>
      </c>
      <c r="G913" s="14">
        <v>10044.969999999999</v>
      </c>
      <c r="H913" s="13">
        <v>298</v>
      </c>
      <c r="I913" t="s">
        <v>77</v>
      </c>
    </row>
    <row r="914" spans="1:9" x14ac:dyDescent="0.3">
      <c r="A914">
        <v>1822</v>
      </c>
      <c r="B914" t="s">
        <v>286</v>
      </c>
      <c r="C914" t="s">
        <v>92</v>
      </c>
      <c r="D914" t="s">
        <v>64</v>
      </c>
      <c r="E914" t="s">
        <v>898</v>
      </c>
      <c r="F914" s="13">
        <v>3</v>
      </c>
      <c r="G914" s="14">
        <v>2346.3200000000002</v>
      </c>
      <c r="H914" s="13">
        <v>298</v>
      </c>
      <c r="I914" t="s">
        <v>77</v>
      </c>
    </row>
    <row r="915" spans="1:9" x14ac:dyDescent="0.3">
      <c r="A915">
        <v>2837</v>
      </c>
      <c r="B915" t="s">
        <v>191</v>
      </c>
      <c r="C915" t="s">
        <v>87</v>
      </c>
      <c r="D915" t="s">
        <v>64</v>
      </c>
      <c r="E915" t="s">
        <v>898</v>
      </c>
      <c r="F915" s="13">
        <v>2</v>
      </c>
      <c r="G915" s="14">
        <v>3520.79</v>
      </c>
      <c r="H915" s="13">
        <v>298</v>
      </c>
      <c r="I915" t="s">
        <v>77</v>
      </c>
    </row>
    <row r="916" spans="1:9" x14ac:dyDescent="0.3">
      <c r="A916">
        <v>3282</v>
      </c>
      <c r="B916" t="s">
        <v>283</v>
      </c>
      <c r="C916" t="s">
        <v>123</v>
      </c>
      <c r="D916" t="s">
        <v>65</v>
      </c>
      <c r="E916" t="s">
        <v>898</v>
      </c>
      <c r="F916" s="13">
        <v>1</v>
      </c>
      <c r="G916" s="14">
        <v>5025.3500000000004</v>
      </c>
      <c r="H916" s="13">
        <v>298</v>
      </c>
      <c r="I916" t="s">
        <v>77</v>
      </c>
    </row>
    <row r="917" spans="1:9" x14ac:dyDescent="0.3">
      <c r="A917">
        <v>6271</v>
      </c>
      <c r="B917" t="s">
        <v>899</v>
      </c>
      <c r="C917" t="s">
        <v>133</v>
      </c>
      <c r="D917" t="s">
        <v>64</v>
      </c>
      <c r="E917" t="s">
        <v>898</v>
      </c>
      <c r="F917" s="13">
        <v>1</v>
      </c>
      <c r="G917" s="14">
        <v>1239.6199999999999</v>
      </c>
      <c r="H917" s="13">
        <v>298</v>
      </c>
      <c r="I917" t="s">
        <v>77</v>
      </c>
    </row>
    <row r="918" spans="1:9" x14ac:dyDescent="0.3">
      <c r="A918">
        <v>7490</v>
      </c>
      <c r="B918" t="s">
        <v>153</v>
      </c>
      <c r="C918" t="s">
        <v>90</v>
      </c>
      <c r="D918" t="s">
        <v>66</v>
      </c>
      <c r="E918" t="s">
        <v>898</v>
      </c>
      <c r="F918" s="13">
        <v>1</v>
      </c>
      <c r="G918" s="14">
        <v>1930.28</v>
      </c>
      <c r="H918" s="13">
        <v>298</v>
      </c>
      <c r="I918" t="s">
        <v>77</v>
      </c>
    </row>
    <row r="919" spans="1:9" x14ac:dyDescent="0.3">
      <c r="A919">
        <v>8977</v>
      </c>
      <c r="B919" t="s">
        <v>438</v>
      </c>
      <c r="C919" t="s">
        <v>123</v>
      </c>
      <c r="D919" t="s">
        <v>65</v>
      </c>
      <c r="E919" t="s">
        <v>898</v>
      </c>
      <c r="F919" s="13">
        <v>2</v>
      </c>
      <c r="G919" s="14">
        <v>1524.92</v>
      </c>
      <c r="H919" s="13">
        <v>298</v>
      </c>
      <c r="I919" t="s">
        <v>77</v>
      </c>
    </row>
    <row r="920" spans="1:9" x14ac:dyDescent="0.3">
      <c r="A920">
        <v>2089</v>
      </c>
      <c r="B920" t="s">
        <v>540</v>
      </c>
      <c r="C920" t="s">
        <v>137</v>
      </c>
      <c r="D920" t="s">
        <v>64</v>
      </c>
      <c r="E920" t="s">
        <v>900</v>
      </c>
      <c r="F920" s="13">
        <v>1</v>
      </c>
      <c r="G920" s="14">
        <v>3373.78</v>
      </c>
      <c r="H920" s="13">
        <v>297</v>
      </c>
      <c r="I920" t="s">
        <v>77</v>
      </c>
    </row>
    <row r="921" spans="1:9" x14ac:dyDescent="0.3">
      <c r="A921">
        <v>2407</v>
      </c>
      <c r="B921" t="s">
        <v>257</v>
      </c>
      <c r="C921" t="s">
        <v>92</v>
      </c>
      <c r="D921" t="s">
        <v>64</v>
      </c>
      <c r="E921" t="s">
        <v>900</v>
      </c>
      <c r="F921" s="13">
        <v>1</v>
      </c>
      <c r="G921" s="14">
        <v>512.45000000000005</v>
      </c>
      <c r="H921" s="13">
        <v>297</v>
      </c>
      <c r="I921" t="s">
        <v>77</v>
      </c>
    </row>
    <row r="922" spans="1:9" x14ac:dyDescent="0.3">
      <c r="A922">
        <v>2816</v>
      </c>
      <c r="B922" t="s">
        <v>901</v>
      </c>
      <c r="C922" t="s">
        <v>90</v>
      </c>
      <c r="D922" t="s">
        <v>66</v>
      </c>
      <c r="E922" t="s">
        <v>900</v>
      </c>
      <c r="F922" s="13">
        <v>3</v>
      </c>
      <c r="G922" s="14">
        <v>4164.47</v>
      </c>
      <c r="H922" s="13">
        <v>297</v>
      </c>
      <c r="I922" t="s">
        <v>77</v>
      </c>
    </row>
    <row r="923" spans="1:9" x14ac:dyDescent="0.3">
      <c r="A923">
        <v>3543</v>
      </c>
      <c r="B923" t="s">
        <v>116</v>
      </c>
      <c r="C923" t="s">
        <v>249</v>
      </c>
      <c r="D923" t="s">
        <v>67</v>
      </c>
      <c r="E923" t="s">
        <v>900</v>
      </c>
      <c r="F923" s="13">
        <v>3</v>
      </c>
      <c r="G923" s="14">
        <v>6780.07</v>
      </c>
      <c r="H923" s="13">
        <v>297</v>
      </c>
      <c r="I923" t="s">
        <v>77</v>
      </c>
    </row>
    <row r="924" spans="1:9" x14ac:dyDescent="0.3">
      <c r="A924">
        <v>2998</v>
      </c>
      <c r="B924" t="s">
        <v>407</v>
      </c>
      <c r="C924" t="s">
        <v>114</v>
      </c>
      <c r="D924" t="s">
        <v>66</v>
      </c>
      <c r="E924" t="s">
        <v>902</v>
      </c>
      <c r="F924" s="13">
        <v>1</v>
      </c>
      <c r="G924" s="14">
        <v>2175.7800000000002</v>
      </c>
      <c r="H924" s="13">
        <v>296</v>
      </c>
      <c r="I924" t="s">
        <v>77</v>
      </c>
    </row>
    <row r="925" spans="1:9" x14ac:dyDescent="0.3">
      <c r="A925">
        <v>5967</v>
      </c>
      <c r="B925" t="s">
        <v>903</v>
      </c>
      <c r="C925" t="s">
        <v>103</v>
      </c>
      <c r="D925" t="s">
        <v>67</v>
      </c>
      <c r="E925" t="s">
        <v>902</v>
      </c>
      <c r="F925" s="13">
        <v>1</v>
      </c>
      <c r="G925" s="14">
        <v>274.68</v>
      </c>
      <c r="H925" s="13">
        <v>296</v>
      </c>
      <c r="I925" t="s">
        <v>77</v>
      </c>
    </row>
    <row r="926" spans="1:9" x14ac:dyDescent="0.3">
      <c r="A926">
        <v>6550</v>
      </c>
      <c r="B926" t="s">
        <v>264</v>
      </c>
      <c r="C926" t="s">
        <v>90</v>
      </c>
      <c r="D926" t="s">
        <v>66</v>
      </c>
      <c r="E926" t="s">
        <v>902</v>
      </c>
      <c r="F926" s="13">
        <v>2</v>
      </c>
      <c r="G926" s="14">
        <v>11999.04</v>
      </c>
      <c r="H926" s="13">
        <v>296</v>
      </c>
      <c r="I926" t="s">
        <v>77</v>
      </c>
    </row>
    <row r="927" spans="1:9" x14ac:dyDescent="0.3">
      <c r="A927">
        <v>7957</v>
      </c>
      <c r="B927" t="s">
        <v>904</v>
      </c>
      <c r="C927" t="s">
        <v>92</v>
      </c>
      <c r="D927" t="s">
        <v>64</v>
      </c>
      <c r="E927" t="s">
        <v>902</v>
      </c>
      <c r="F927" s="13">
        <v>1</v>
      </c>
      <c r="G927" s="14">
        <v>83.31</v>
      </c>
      <c r="H927" s="13">
        <v>296</v>
      </c>
      <c r="I927" t="s">
        <v>77</v>
      </c>
    </row>
    <row r="928" spans="1:9" x14ac:dyDescent="0.3">
      <c r="A928">
        <v>8470</v>
      </c>
      <c r="B928" t="s">
        <v>540</v>
      </c>
      <c r="C928" t="s">
        <v>90</v>
      </c>
      <c r="D928" t="s">
        <v>66</v>
      </c>
      <c r="E928" t="s">
        <v>902</v>
      </c>
      <c r="F928" s="13">
        <v>1</v>
      </c>
      <c r="G928" s="14">
        <v>213.42</v>
      </c>
      <c r="H928" s="13">
        <v>296</v>
      </c>
      <c r="I928" t="s">
        <v>77</v>
      </c>
    </row>
    <row r="929" spans="1:9" x14ac:dyDescent="0.3">
      <c r="A929">
        <v>434</v>
      </c>
      <c r="B929" t="s">
        <v>388</v>
      </c>
      <c r="C929" t="s">
        <v>100</v>
      </c>
      <c r="D929" t="s">
        <v>66</v>
      </c>
      <c r="E929" t="s">
        <v>905</v>
      </c>
      <c r="F929" s="13">
        <v>1</v>
      </c>
      <c r="G929" s="14">
        <v>1666.97</v>
      </c>
      <c r="H929" s="13">
        <v>295</v>
      </c>
      <c r="I929" t="s">
        <v>77</v>
      </c>
    </row>
    <row r="930" spans="1:9" x14ac:dyDescent="0.3">
      <c r="A930">
        <v>1283</v>
      </c>
      <c r="B930" t="s">
        <v>99</v>
      </c>
      <c r="C930" t="s">
        <v>97</v>
      </c>
      <c r="D930" t="s">
        <v>65</v>
      </c>
      <c r="E930" t="s">
        <v>905</v>
      </c>
      <c r="F930" s="13">
        <v>1</v>
      </c>
      <c r="G930" s="14">
        <v>1192.4100000000001</v>
      </c>
      <c r="H930" s="13">
        <v>295</v>
      </c>
      <c r="I930" t="s">
        <v>77</v>
      </c>
    </row>
    <row r="931" spans="1:9" x14ac:dyDescent="0.3">
      <c r="A931">
        <v>5534</v>
      </c>
      <c r="B931" t="s">
        <v>135</v>
      </c>
      <c r="C931" t="s">
        <v>97</v>
      </c>
      <c r="D931" t="s">
        <v>65</v>
      </c>
      <c r="E931" t="s">
        <v>905</v>
      </c>
      <c r="F931" s="13">
        <v>1</v>
      </c>
      <c r="G931" s="14">
        <v>2790.92</v>
      </c>
      <c r="H931" s="13">
        <v>295</v>
      </c>
      <c r="I931" t="s">
        <v>77</v>
      </c>
    </row>
    <row r="932" spans="1:9" x14ac:dyDescent="0.3">
      <c r="A932">
        <v>6308</v>
      </c>
      <c r="B932" t="s">
        <v>333</v>
      </c>
      <c r="C932" t="s">
        <v>133</v>
      </c>
      <c r="D932" t="s">
        <v>64</v>
      </c>
      <c r="E932" t="s">
        <v>905</v>
      </c>
      <c r="F932" s="13">
        <v>1</v>
      </c>
      <c r="G932" s="14">
        <v>1041.23</v>
      </c>
      <c r="H932" s="13">
        <v>295</v>
      </c>
      <c r="I932" t="s">
        <v>77</v>
      </c>
    </row>
    <row r="933" spans="1:9" x14ac:dyDescent="0.3">
      <c r="A933">
        <v>8844</v>
      </c>
      <c r="B933" t="s">
        <v>327</v>
      </c>
      <c r="C933" t="s">
        <v>133</v>
      </c>
      <c r="D933" t="s">
        <v>64</v>
      </c>
      <c r="E933" t="s">
        <v>905</v>
      </c>
      <c r="F933" s="13">
        <v>2</v>
      </c>
      <c r="G933" s="14">
        <v>10407.959999999999</v>
      </c>
      <c r="H933" s="13">
        <v>295</v>
      </c>
      <c r="I933" t="s">
        <v>77</v>
      </c>
    </row>
    <row r="934" spans="1:9" x14ac:dyDescent="0.3">
      <c r="A934">
        <v>2491</v>
      </c>
      <c r="B934" t="s">
        <v>509</v>
      </c>
      <c r="C934" t="s">
        <v>249</v>
      </c>
      <c r="D934" t="s">
        <v>67</v>
      </c>
      <c r="E934" t="s">
        <v>906</v>
      </c>
      <c r="F934" s="13">
        <v>1</v>
      </c>
      <c r="G934" s="14">
        <v>1891.46</v>
      </c>
      <c r="H934" s="13">
        <v>294</v>
      </c>
      <c r="I934" t="s">
        <v>77</v>
      </c>
    </row>
    <row r="935" spans="1:9" x14ac:dyDescent="0.3">
      <c r="A935">
        <v>3887</v>
      </c>
      <c r="B935" t="s">
        <v>342</v>
      </c>
      <c r="C935" t="s">
        <v>92</v>
      </c>
      <c r="D935" t="s">
        <v>64</v>
      </c>
      <c r="E935" t="s">
        <v>906</v>
      </c>
      <c r="F935" s="13">
        <v>1</v>
      </c>
      <c r="G935" s="14">
        <v>745.67</v>
      </c>
      <c r="H935" s="13">
        <v>294</v>
      </c>
      <c r="I935" t="s">
        <v>77</v>
      </c>
    </row>
    <row r="936" spans="1:9" x14ac:dyDescent="0.3">
      <c r="A936">
        <v>3917</v>
      </c>
      <c r="B936" t="s">
        <v>169</v>
      </c>
      <c r="C936" t="s">
        <v>114</v>
      </c>
      <c r="D936" t="s">
        <v>66</v>
      </c>
      <c r="E936" t="s">
        <v>906</v>
      </c>
      <c r="F936" s="13">
        <v>1</v>
      </c>
      <c r="G936" s="14">
        <v>4209.1000000000004</v>
      </c>
      <c r="H936" s="13">
        <v>294</v>
      </c>
      <c r="I936" t="s">
        <v>77</v>
      </c>
    </row>
    <row r="937" spans="1:9" x14ac:dyDescent="0.3">
      <c r="A937">
        <v>5021</v>
      </c>
      <c r="B937" t="s">
        <v>882</v>
      </c>
      <c r="C937" t="s">
        <v>92</v>
      </c>
      <c r="D937" t="s">
        <v>64</v>
      </c>
      <c r="E937" t="s">
        <v>906</v>
      </c>
      <c r="F937" s="13">
        <v>3</v>
      </c>
      <c r="G937" s="14">
        <v>3827.73</v>
      </c>
      <c r="H937" s="13">
        <v>294</v>
      </c>
      <c r="I937" t="s">
        <v>77</v>
      </c>
    </row>
    <row r="938" spans="1:9" x14ac:dyDescent="0.3">
      <c r="A938">
        <v>7608</v>
      </c>
      <c r="B938" t="s">
        <v>907</v>
      </c>
      <c r="C938" t="s">
        <v>92</v>
      </c>
      <c r="D938" t="s">
        <v>64</v>
      </c>
      <c r="E938" t="s">
        <v>906</v>
      </c>
      <c r="F938" s="13">
        <v>1</v>
      </c>
      <c r="G938" s="14">
        <v>3253.24</v>
      </c>
      <c r="H938" s="13">
        <v>294</v>
      </c>
      <c r="I938" t="s">
        <v>77</v>
      </c>
    </row>
    <row r="939" spans="1:9" x14ac:dyDescent="0.3">
      <c r="A939">
        <v>8223</v>
      </c>
      <c r="B939" t="s">
        <v>178</v>
      </c>
      <c r="C939" t="s">
        <v>90</v>
      </c>
      <c r="D939" t="s">
        <v>66</v>
      </c>
      <c r="E939" t="s">
        <v>906</v>
      </c>
      <c r="F939" s="13">
        <v>2</v>
      </c>
      <c r="G939" s="14">
        <v>2166.7800000000002</v>
      </c>
      <c r="H939" s="13">
        <v>294</v>
      </c>
      <c r="I939" t="s">
        <v>77</v>
      </c>
    </row>
    <row r="940" spans="1:9" x14ac:dyDescent="0.3">
      <c r="A940">
        <v>851</v>
      </c>
      <c r="B940" t="s">
        <v>494</v>
      </c>
      <c r="C940" t="s">
        <v>133</v>
      </c>
      <c r="D940" t="s">
        <v>64</v>
      </c>
      <c r="E940" t="s">
        <v>908</v>
      </c>
      <c r="F940" s="13">
        <v>3</v>
      </c>
      <c r="G940" s="14">
        <v>12618.73</v>
      </c>
      <c r="H940" s="13">
        <v>293</v>
      </c>
      <c r="I940" t="s">
        <v>77</v>
      </c>
    </row>
    <row r="941" spans="1:9" x14ac:dyDescent="0.3">
      <c r="A941">
        <v>980</v>
      </c>
      <c r="B941" t="s">
        <v>264</v>
      </c>
      <c r="C941" t="s">
        <v>92</v>
      </c>
      <c r="D941" t="s">
        <v>64</v>
      </c>
      <c r="E941" t="s">
        <v>908</v>
      </c>
      <c r="F941" s="13">
        <v>1</v>
      </c>
      <c r="G941" s="14">
        <v>907.01</v>
      </c>
      <c r="H941" s="13">
        <v>293</v>
      </c>
      <c r="I941" t="s">
        <v>77</v>
      </c>
    </row>
    <row r="942" spans="1:9" x14ac:dyDescent="0.3">
      <c r="A942">
        <v>3941</v>
      </c>
      <c r="B942" t="s">
        <v>415</v>
      </c>
      <c r="C942" t="s">
        <v>123</v>
      </c>
      <c r="D942" t="s">
        <v>65</v>
      </c>
      <c r="E942" t="s">
        <v>908</v>
      </c>
      <c r="F942" s="13">
        <v>2</v>
      </c>
      <c r="G942" s="14">
        <v>4194.58</v>
      </c>
      <c r="H942" s="13">
        <v>293</v>
      </c>
      <c r="I942" t="s">
        <v>77</v>
      </c>
    </row>
    <row r="943" spans="1:9" x14ac:dyDescent="0.3">
      <c r="A943">
        <v>4288</v>
      </c>
      <c r="B943" t="s">
        <v>909</v>
      </c>
      <c r="C943" t="s">
        <v>100</v>
      </c>
      <c r="D943" t="s">
        <v>66</v>
      </c>
      <c r="E943" t="s">
        <v>908</v>
      </c>
      <c r="F943" s="13">
        <v>1</v>
      </c>
      <c r="G943" s="14">
        <v>501.63</v>
      </c>
      <c r="H943" s="13">
        <v>293</v>
      </c>
      <c r="I943" t="s">
        <v>77</v>
      </c>
    </row>
    <row r="944" spans="1:9" x14ac:dyDescent="0.3">
      <c r="A944">
        <v>7469</v>
      </c>
      <c r="B944" t="s">
        <v>494</v>
      </c>
      <c r="C944" t="s">
        <v>92</v>
      </c>
      <c r="D944" t="s">
        <v>64</v>
      </c>
      <c r="E944" t="s">
        <v>908</v>
      </c>
      <c r="F944" s="13">
        <v>2</v>
      </c>
      <c r="G944" s="14">
        <v>784.78</v>
      </c>
      <c r="H944" s="13">
        <v>293</v>
      </c>
      <c r="I944" t="s">
        <v>77</v>
      </c>
    </row>
    <row r="945" spans="1:9" x14ac:dyDescent="0.3">
      <c r="A945">
        <v>7816</v>
      </c>
      <c r="B945" t="s">
        <v>910</v>
      </c>
      <c r="C945" t="s">
        <v>90</v>
      </c>
      <c r="D945" t="s">
        <v>66</v>
      </c>
      <c r="E945" t="s">
        <v>908</v>
      </c>
      <c r="F945" s="13">
        <v>1</v>
      </c>
      <c r="G945" s="14">
        <v>408.79</v>
      </c>
      <c r="H945" s="13">
        <v>293</v>
      </c>
      <c r="I945" t="s">
        <v>77</v>
      </c>
    </row>
    <row r="946" spans="1:9" x14ac:dyDescent="0.3">
      <c r="A946">
        <v>347</v>
      </c>
      <c r="B946" t="s">
        <v>169</v>
      </c>
      <c r="C946" t="s">
        <v>90</v>
      </c>
      <c r="D946" t="s">
        <v>66</v>
      </c>
      <c r="E946" t="s">
        <v>911</v>
      </c>
      <c r="F946" s="13">
        <v>4</v>
      </c>
      <c r="G946" s="14">
        <v>19119.669999999998</v>
      </c>
      <c r="H946" s="13">
        <v>292</v>
      </c>
      <c r="I946" t="s">
        <v>77</v>
      </c>
    </row>
    <row r="947" spans="1:9" x14ac:dyDescent="0.3">
      <c r="A947">
        <v>2967</v>
      </c>
      <c r="B947" t="s">
        <v>582</v>
      </c>
      <c r="C947" t="s">
        <v>123</v>
      </c>
      <c r="D947" t="s">
        <v>65</v>
      </c>
      <c r="E947" t="s">
        <v>911</v>
      </c>
      <c r="F947" s="13">
        <v>1</v>
      </c>
      <c r="G947" s="14">
        <v>6141.47</v>
      </c>
      <c r="H947" s="13">
        <v>292</v>
      </c>
      <c r="I947" t="s">
        <v>77</v>
      </c>
    </row>
    <row r="948" spans="1:9" x14ac:dyDescent="0.3">
      <c r="A948">
        <v>3999</v>
      </c>
      <c r="B948" t="s">
        <v>311</v>
      </c>
      <c r="C948" t="s">
        <v>137</v>
      </c>
      <c r="D948" t="s">
        <v>64</v>
      </c>
      <c r="E948" t="s">
        <v>911</v>
      </c>
      <c r="F948" s="13">
        <v>4</v>
      </c>
      <c r="G948" s="14">
        <v>3653.22</v>
      </c>
      <c r="H948" s="13">
        <v>292</v>
      </c>
      <c r="I948" t="s">
        <v>77</v>
      </c>
    </row>
    <row r="949" spans="1:9" x14ac:dyDescent="0.3">
      <c r="A949">
        <v>4403</v>
      </c>
      <c r="B949" t="s">
        <v>851</v>
      </c>
      <c r="C949" t="s">
        <v>92</v>
      </c>
      <c r="D949" t="s">
        <v>64</v>
      </c>
      <c r="E949" t="s">
        <v>911</v>
      </c>
      <c r="F949" s="13">
        <v>1</v>
      </c>
      <c r="G949" s="14">
        <v>149.06</v>
      </c>
      <c r="H949" s="13">
        <v>292</v>
      </c>
      <c r="I949" t="s">
        <v>77</v>
      </c>
    </row>
    <row r="950" spans="1:9" x14ac:dyDescent="0.3">
      <c r="A950">
        <v>5233</v>
      </c>
      <c r="B950" t="s">
        <v>277</v>
      </c>
      <c r="C950" t="s">
        <v>95</v>
      </c>
      <c r="D950" t="s">
        <v>65</v>
      </c>
      <c r="E950" t="s">
        <v>911</v>
      </c>
      <c r="F950" s="13">
        <v>2</v>
      </c>
      <c r="G950" s="14">
        <v>1000.41</v>
      </c>
      <c r="H950" s="13">
        <v>292</v>
      </c>
      <c r="I950" t="s">
        <v>77</v>
      </c>
    </row>
    <row r="951" spans="1:9" x14ac:dyDescent="0.3">
      <c r="A951">
        <v>5393</v>
      </c>
      <c r="B951" t="s">
        <v>912</v>
      </c>
      <c r="C951" t="s">
        <v>137</v>
      </c>
      <c r="D951" t="s">
        <v>64</v>
      </c>
      <c r="E951" t="s">
        <v>911</v>
      </c>
      <c r="F951" s="13">
        <v>1</v>
      </c>
      <c r="G951" s="14">
        <v>5740.74</v>
      </c>
      <c r="H951" s="13">
        <v>292</v>
      </c>
      <c r="I951" t="s">
        <v>77</v>
      </c>
    </row>
    <row r="952" spans="1:9" x14ac:dyDescent="0.3">
      <c r="A952">
        <v>640</v>
      </c>
      <c r="B952" t="s">
        <v>366</v>
      </c>
      <c r="C952" t="s">
        <v>100</v>
      </c>
      <c r="D952" t="s">
        <v>66</v>
      </c>
      <c r="E952" t="s">
        <v>913</v>
      </c>
      <c r="F952" s="13">
        <v>1</v>
      </c>
      <c r="G952" s="14">
        <v>161.47999999999999</v>
      </c>
      <c r="H952" s="13">
        <v>291</v>
      </c>
      <c r="I952" t="s">
        <v>77</v>
      </c>
    </row>
    <row r="953" spans="1:9" x14ac:dyDescent="0.3">
      <c r="A953">
        <v>1531</v>
      </c>
      <c r="B953" t="s">
        <v>668</v>
      </c>
      <c r="C953" t="s">
        <v>92</v>
      </c>
      <c r="D953" t="s">
        <v>64</v>
      </c>
      <c r="E953" t="s">
        <v>913</v>
      </c>
      <c r="F953" s="13">
        <v>2</v>
      </c>
      <c r="G953" s="14">
        <v>2919.4</v>
      </c>
      <c r="H953" s="13">
        <v>291</v>
      </c>
      <c r="I953" t="s">
        <v>77</v>
      </c>
    </row>
    <row r="954" spans="1:9" x14ac:dyDescent="0.3">
      <c r="A954">
        <v>5102</v>
      </c>
      <c r="B954" t="s">
        <v>201</v>
      </c>
      <c r="C954" t="s">
        <v>92</v>
      </c>
      <c r="D954" t="s">
        <v>64</v>
      </c>
      <c r="E954" t="s">
        <v>913</v>
      </c>
      <c r="F954" s="13">
        <v>1</v>
      </c>
      <c r="G954" s="14">
        <v>914.63</v>
      </c>
      <c r="H954" s="13">
        <v>291</v>
      </c>
      <c r="I954" t="s">
        <v>77</v>
      </c>
    </row>
    <row r="955" spans="1:9" x14ac:dyDescent="0.3">
      <c r="A955">
        <v>6237</v>
      </c>
      <c r="B955" t="s">
        <v>167</v>
      </c>
      <c r="C955" t="s">
        <v>92</v>
      </c>
      <c r="D955" t="s">
        <v>64</v>
      </c>
      <c r="E955" t="s">
        <v>913</v>
      </c>
      <c r="F955" s="13">
        <v>3</v>
      </c>
      <c r="G955" s="14">
        <v>8846.94</v>
      </c>
      <c r="H955" s="13">
        <v>291</v>
      </c>
      <c r="I955" t="s">
        <v>77</v>
      </c>
    </row>
    <row r="956" spans="1:9" x14ac:dyDescent="0.3">
      <c r="A956">
        <v>7908</v>
      </c>
      <c r="B956" t="s">
        <v>914</v>
      </c>
      <c r="C956" t="s">
        <v>100</v>
      </c>
      <c r="D956" t="s">
        <v>66</v>
      </c>
      <c r="E956" t="s">
        <v>913</v>
      </c>
      <c r="F956" s="13">
        <v>4</v>
      </c>
      <c r="G956" s="14">
        <v>14379.44</v>
      </c>
      <c r="H956" s="13">
        <v>291</v>
      </c>
      <c r="I956" t="s">
        <v>77</v>
      </c>
    </row>
    <row r="957" spans="1:9" x14ac:dyDescent="0.3">
      <c r="A957">
        <v>8146</v>
      </c>
      <c r="B957" t="s">
        <v>915</v>
      </c>
      <c r="C957" t="s">
        <v>249</v>
      </c>
      <c r="D957" t="s">
        <v>67</v>
      </c>
      <c r="E957" t="s">
        <v>913</v>
      </c>
      <c r="F957" s="13">
        <v>2</v>
      </c>
      <c r="G957" s="14">
        <v>659.69</v>
      </c>
      <c r="H957" s="13">
        <v>291</v>
      </c>
      <c r="I957" t="s">
        <v>77</v>
      </c>
    </row>
    <row r="958" spans="1:9" x14ac:dyDescent="0.3">
      <c r="A958">
        <v>843</v>
      </c>
      <c r="B958" t="s">
        <v>916</v>
      </c>
      <c r="C958" t="s">
        <v>100</v>
      </c>
      <c r="D958" t="s">
        <v>66</v>
      </c>
      <c r="E958" t="s">
        <v>917</v>
      </c>
      <c r="F958" s="13">
        <v>3</v>
      </c>
      <c r="G958" s="14">
        <v>1750</v>
      </c>
      <c r="H958" s="13">
        <v>290</v>
      </c>
      <c r="I958" t="s">
        <v>77</v>
      </c>
    </row>
    <row r="959" spans="1:9" x14ac:dyDescent="0.3">
      <c r="A959">
        <v>3723</v>
      </c>
      <c r="B959" t="s">
        <v>534</v>
      </c>
      <c r="C959" t="s">
        <v>249</v>
      </c>
      <c r="D959" t="s">
        <v>67</v>
      </c>
      <c r="E959" t="s">
        <v>917</v>
      </c>
      <c r="F959" s="13">
        <v>2</v>
      </c>
      <c r="G959" s="14">
        <v>3303.68</v>
      </c>
      <c r="H959" s="13">
        <v>290</v>
      </c>
      <c r="I959" t="s">
        <v>77</v>
      </c>
    </row>
    <row r="960" spans="1:9" x14ac:dyDescent="0.3">
      <c r="A960">
        <v>7913</v>
      </c>
      <c r="B960" t="s">
        <v>438</v>
      </c>
      <c r="C960" t="s">
        <v>95</v>
      </c>
      <c r="D960" t="s">
        <v>65</v>
      </c>
      <c r="E960" t="s">
        <v>917</v>
      </c>
      <c r="F960" s="13">
        <v>1</v>
      </c>
      <c r="G960" s="14">
        <v>806.28</v>
      </c>
      <c r="H960" s="13">
        <v>290</v>
      </c>
      <c r="I960" t="s">
        <v>77</v>
      </c>
    </row>
    <row r="961" spans="1:9" x14ac:dyDescent="0.3">
      <c r="A961">
        <v>8917</v>
      </c>
      <c r="B961" t="s">
        <v>388</v>
      </c>
      <c r="C961" t="s">
        <v>123</v>
      </c>
      <c r="D961" t="s">
        <v>65</v>
      </c>
      <c r="E961" t="s">
        <v>917</v>
      </c>
      <c r="F961" s="13">
        <v>1</v>
      </c>
      <c r="G961" s="14">
        <v>888.08</v>
      </c>
      <c r="H961" s="13">
        <v>290</v>
      </c>
      <c r="I961" t="s">
        <v>77</v>
      </c>
    </row>
    <row r="962" spans="1:9" x14ac:dyDescent="0.3">
      <c r="A962">
        <v>173</v>
      </c>
      <c r="B962" t="s">
        <v>918</v>
      </c>
      <c r="C962" t="s">
        <v>123</v>
      </c>
      <c r="D962" t="s">
        <v>65</v>
      </c>
      <c r="E962" t="s">
        <v>919</v>
      </c>
      <c r="F962" s="13">
        <v>1</v>
      </c>
      <c r="G962" s="14">
        <v>513.63</v>
      </c>
      <c r="H962" s="13">
        <v>289</v>
      </c>
      <c r="I962" t="s">
        <v>77</v>
      </c>
    </row>
    <row r="963" spans="1:9" x14ac:dyDescent="0.3">
      <c r="A963">
        <v>245</v>
      </c>
      <c r="B963" t="s">
        <v>920</v>
      </c>
      <c r="C963" t="s">
        <v>103</v>
      </c>
      <c r="D963" t="s">
        <v>67</v>
      </c>
      <c r="E963" t="s">
        <v>919</v>
      </c>
      <c r="F963" s="13">
        <v>1</v>
      </c>
      <c r="G963" s="14">
        <v>936.54</v>
      </c>
      <c r="H963" s="13">
        <v>289</v>
      </c>
      <c r="I963" t="s">
        <v>77</v>
      </c>
    </row>
    <row r="964" spans="1:9" x14ac:dyDescent="0.3">
      <c r="A964">
        <v>2705</v>
      </c>
      <c r="B964" t="s">
        <v>120</v>
      </c>
      <c r="C964" t="s">
        <v>92</v>
      </c>
      <c r="D964" t="s">
        <v>64</v>
      </c>
      <c r="E964" t="s">
        <v>919</v>
      </c>
      <c r="F964" s="13">
        <v>1</v>
      </c>
      <c r="G964" s="14">
        <v>1600.3</v>
      </c>
      <c r="H964" s="13">
        <v>289</v>
      </c>
      <c r="I964" t="s">
        <v>77</v>
      </c>
    </row>
    <row r="965" spans="1:9" x14ac:dyDescent="0.3">
      <c r="A965">
        <v>4709</v>
      </c>
      <c r="B965" t="s">
        <v>162</v>
      </c>
      <c r="C965" t="s">
        <v>92</v>
      </c>
      <c r="D965" t="s">
        <v>64</v>
      </c>
      <c r="E965" t="s">
        <v>919</v>
      </c>
      <c r="F965" s="13">
        <v>1</v>
      </c>
      <c r="G965" s="14">
        <v>1096.83</v>
      </c>
      <c r="H965" s="13">
        <v>289</v>
      </c>
      <c r="I965" t="s">
        <v>77</v>
      </c>
    </row>
    <row r="966" spans="1:9" x14ac:dyDescent="0.3">
      <c r="A966">
        <v>5312</v>
      </c>
      <c r="B966" t="s">
        <v>663</v>
      </c>
      <c r="C966" t="s">
        <v>114</v>
      </c>
      <c r="D966" t="s">
        <v>66</v>
      </c>
      <c r="E966" t="s">
        <v>919</v>
      </c>
      <c r="F966" s="13">
        <v>2</v>
      </c>
      <c r="G966" s="14">
        <v>2923.17</v>
      </c>
      <c r="H966" s="13">
        <v>289</v>
      </c>
      <c r="I966" t="s">
        <v>77</v>
      </c>
    </row>
    <row r="967" spans="1:9" x14ac:dyDescent="0.3">
      <c r="A967">
        <v>5975</v>
      </c>
      <c r="B967" t="s">
        <v>921</v>
      </c>
      <c r="C967" t="s">
        <v>249</v>
      </c>
      <c r="D967" t="s">
        <v>67</v>
      </c>
      <c r="E967" t="s">
        <v>919</v>
      </c>
      <c r="F967" s="13">
        <v>3</v>
      </c>
      <c r="G967" s="14">
        <v>3218.15</v>
      </c>
      <c r="H967" s="13">
        <v>289</v>
      </c>
      <c r="I967" t="s">
        <v>77</v>
      </c>
    </row>
    <row r="968" spans="1:9" x14ac:dyDescent="0.3">
      <c r="A968">
        <v>6309</v>
      </c>
      <c r="B968" t="s">
        <v>201</v>
      </c>
      <c r="C968" t="s">
        <v>137</v>
      </c>
      <c r="D968" t="s">
        <v>64</v>
      </c>
      <c r="E968" t="s">
        <v>919</v>
      </c>
      <c r="F968" s="13">
        <v>2</v>
      </c>
      <c r="G968" s="14">
        <v>5901.93</v>
      </c>
      <c r="H968" s="13">
        <v>289</v>
      </c>
      <c r="I968" t="s">
        <v>77</v>
      </c>
    </row>
    <row r="969" spans="1:9" x14ac:dyDescent="0.3">
      <c r="A969">
        <v>7646</v>
      </c>
      <c r="B969" t="s">
        <v>922</v>
      </c>
      <c r="C969" t="s">
        <v>92</v>
      </c>
      <c r="D969" t="s">
        <v>64</v>
      </c>
      <c r="E969" t="s">
        <v>919</v>
      </c>
      <c r="F969" s="13">
        <v>1</v>
      </c>
      <c r="G969" s="14">
        <v>990.14</v>
      </c>
      <c r="H969" s="13">
        <v>289</v>
      </c>
      <c r="I969" t="s">
        <v>77</v>
      </c>
    </row>
    <row r="970" spans="1:9" x14ac:dyDescent="0.3">
      <c r="A970">
        <v>2146</v>
      </c>
      <c r="B970" t="s">
        <v>386</v>
      </c>
      <c r="C970" t="s">
        <v>100</v>
      </c>
      <c r="D970" t="s">
        <v>66</v>
      </c>
      <c r="E970" t="s">
        <v>923</v>
      </c>
      <c r="F970" s="13">
        <v>1</v>
      </c>
      <c r="G970" s="14">
        <v>71.150000000000006</v>
      </c>
      <c r="H970" s="13">
        <v>288</v>
      </c>
      <c r="I970" t="s">
        <v>77</v>
      </c>
    </row>
    <row r="971" spans="1:9" x14ac:dyDescent="0.3">
      <c r="A971">
        <v>4208</v>
      </c>
      <c r="B971" t="s">
        <v>382</v>
      </c>
      <c r="C971" t="s">
        <v>92</v>
      </c>
      <c r="D971" t="s">
        <v>64</v>
      </c>
      <c r="E971" t="s">
        <v>923</v>
      </c>
      <c r="F971" s="13">
        <v>3</v>
      </c>
      <c r="G971" s="14">
        <v>9489.84</v>
      </c>
      <c r="H971" s="13">
        <v>288</v>
      </c>
      <c r="I971" t="s">
        <v>77</v>
      </c>
    </row>
    <row r="972" spans="1:9" x14ac:dyDescent="0.3">
      <c r="A972">
        <v>5588</v>
      </c>
      <c r="B972" t="s">
        <v>924</v>
      </c>
      <c r="C972" t="s">
        <v>137</v>
      </c>
      <c r="D972" t="s">
        <v>64</v>
      </c>
      <c r="E972" t="s">
        <v>923</v>
      </c>
      <c r="F972" s="13">
        <v>1</v>
      </c>
      <c r="G972" s="14">
        <v>288.64999999999998</v>
      </c>
      <c r="H972" s="13">
        <v>288</v>
      </c>
      <c r="I972" t="s">
        <v>77</v>
      </c>
    </row>
    <row r="973" spans="1:9" x14ac:dyDescent="0.3">
      <c r="A973">
        <v>5990</v>
      </c>
      <c r="B973" t="s">
        <v>925</v>
      </c>
      <c r="C973" t="s">
        <v>123</v>
      </c>
      <c r="D973" t="s">
        <v>65</v>
      </c>
      <c r="E973" t="s">
        <v>923</v>
      </c>
      <c r="F973" s="13">
        <v>1</v>
      </c>
      <c r="G973" s="14">
        <v>7748.28</v>
      </c>
      <c r="H973" s="13">
        <v>288</v>
      </c>
      <c r="I973" t="s">
        <v>77</v>
      </c>
    </row>
    <row r="974" spans="1:9" x14ac:dyDescent="0.3">
      <c r="A974">
        <v>6796</v>
      </c>
      <c r="B974" t="s">
        <v>926</v>
      </c>
      <c r="C974" t="s">
        <v>103</v>
      </c>
      <c r="D974" t="s">
        <v>67</v>
      </c>
      <c r="E974" t="s">
        <v>923</v>
      </c>
      <c r="F974" s="13">
        <v>2</v>
      </c>
      <c r="G974" s="14">
        <v>408.71</v>
      </c>
      <c r="H974" s="13">
        <v>288</v>
      </c>
      <c r="I974" t="s">
        <v>77</v>
      </c>
    </row>
    <row r="975" spans="1:9" x14ac:dyDescent="0.3">
      <c r="A975">
        <v>147</v>
      </c>
      <c r="B975" t="s">
        <v>854</v>
      </c>
      <c r="C975" t="s">
        <v>103</v>
      </c>
      <c r="D975" t="s">
        <v>67</v>
      </c>
      <c r="E975" t="s">
        <v>927</v>
      </c>
      <c r="F975" s="13">
        <v>3</v>
      </c>
      <c r="G975" s="14">
        <v>5974.9</v>
      </c>
      <c r="H975" s="13">
        <v>287</v>
      </c>
      <c r="I975" t="s">
        <v>77</v>
      </c>
    </row>
    <row r="976" spans="1:9" x14ac:dyDescent="0.3">
      <c r="A976">
        <v>1033</v>
      </c>
      <c r="B976" t="s">
        <v>928</v>
      </c>
      <c r="C976" t="s">
        <v>97</v>
      </c>
      <c r="D976" t="s">
        <v>65</v>
      </c>
      <c r="E976" t="s">
        <v>927</v>
      </c>
      <c r="F976" s="13">
        <v>1</v>
      </c>
      <c r="G976" s="14">
        <v>5494.76</v>
      </c>
      <c r="H976" s="13">
        <v>287</v>
      </c>
      <c r="I976" t="s">
        <v>77</v>
      </c>
    </row>
    <row r="977" spans="1:9" x14ac:dyDescent="0.3">
      <c r="A977">
        <v>4846</v>
      </c>
      <c r="B977" t="s">
        <v>89</v>
      </c>
      <c r="C977" t="s">
        <v>92</v>
      </c>
      <c r="D977" t="s">
        <v>64</v>
      </c>
      <c r="E977" t="s">
        <v>927</v>
      </c>
      <c r="F977" s="13">
        <v>1</v>
      </c>
      <c r="G977" s="14">
        <v>395.67</v>
      </c>
      <c r="H977" s="13">
        <v>287</v>
      </c>
      <c r="I977" t="s">
        <v>77</v>
      </c>
    </row>
    <row r="978" spans="1:9" x14ac:dyDescent="0.3">
      <c r="A978">
        <v>5561</v>
      </c>
      <c r="B978" t="s">
        <v>694</v>
      </c>
      <c r="C978" t="s">
        <v>97</v>
      </c>
      <c r="D978" t="s">
        <v>65</v>
      </c>
      <c r="E978" t="s">
        <v>927</v>
      </c>
      <c r="F978" s="13">
        <v>2</v>
      </c>
      <c r="G978" s="14">
        <v>5988.26</v>
      </c>
      <c r="H978" s="13">
        <v>287</v>
      </c>
      <c r="I978" t="s">
        <v>77</v>
      </c>
    </row>
    <row r="979" spans="1:9" x14ac:dyDescent="0.3">
      <c r="A979">
        <v>1336</v>
      </c>
      <c r="B979" t="s">
        <v>153</v>
      </c>
      <c r="C979" t="s">
        <v>92</v>
      </c>
      <c r="D979" t="s">
        <v>64</v>
      </c>
      <c r="E979" t="s">
        <v>929</v>
      </c>
      <c r="F979" s="13">
        <v>4</v>
      </c>
      <c r="G979" s="14">
        <v>10348.280000000001</v>
      </c>
      <c r="H979" s="13">
        <v>286</v>
      </c>
      <c r="I979" t="s">
        <v>77</v>
      </c>
    </row>
    <row r="980" spans="1:9" x14ac:dyDescent="0.3">
      <c r="A980">
        <v>4006</v>
      </c>
      <c r="B980" t="s">
        <v>201</v>
      </c>
      <c r="C980" t="s">
        <v>90</v>
      </c>
      <c r="D980" t="s">
        <v>66</v>
      </c>
      <c r="E980" t="s">
        <v>929</v>
      </c>
      <c r="F980" s="13">
        <v>2</v>
      </c>
      <c r="G980" s="14">
        <v>5571.93</v>
      </c>
      <c r="H980" s="13">
        <v>286</v>
      </c>
      <c r="I980" t="s">
        <v>77</v>
      </c>
    </row>
    <row r="981" spans="1:9" x14ac:dyDescent="0.3">
      <c r="A981">
        <v>6379</v>
      </c>
      <c r="B981" t="s">
        <v>930</v>
      </c>
      <c r="C981" t="s">
        <v>137</v>
      </c>
      <c r="D981" t="s">
        <v>64</v>
      </c>
      <c r="E981" t="s">
        <v>929</v>
      </c>
      <c r="F981" s="13">
        <v>2</v>
      </c>
      <c r="G981" s="14">
        <v>2120.13</v>
      </c>
      <c r="H981" s="13">
        <v>286</v>
      </c>
      <c r="I981" t="s">
        <v>77</v>
      </c>
    </row>
    <row r="982" spans="1:9" x14ac:dyDescent="0.3">
      <c r="A982">
        <v>6658</v>
      </c>
      <c r="B982" t="s">
        <v>931</v>
      </c>
      <c r="C982" t="s">
        <v>137</v>
      </c>
      <c r="D982" t="s">
        <v>64</v>
      </c>
      <c r="E982" t="s">
        <v>929</v>
      </c>
      <c r="F982" s="13">
        <v>2</v>
      </c>
      <c r="G982" s="14">
        <v>2842.37</v>
      </c>
      <c r="H982" s="13">
        <v>286</v>
      </c>
      <c r="I982" t="s">
        <v>77</v>
      </c>
    </row>
    <row r="983" spans="1:9" x14ac:dyDescent="0.3">
      <c r="A983">
        <v>1009</v>
      </c>
      <c r="B983" t="s">
        <v>932</v>
      </c>
      <c r="C983" t="s">
        <v>249</v>
      </c>
      <c r="D983" t="s">
        <v>67</v>
      </c>
      <c r="E983" t="s">
        <v>933</v>
      </c>
      <c r="F983" s="13">
        <v>3</v>
      </c>
      <c r="G983" s="14">
        <v>3311.67</v>
      </c>
      <c r="H983" s="13">
        <v>285</v>
      </c>
      <c r="I983" t="s">
        <v>77</v>
      </c>
    </row>
    <row r="984" spans="1:9" x14ac:dyDescent="0.3">
      <c r="A984">
        <v>5683</v>
      </c>
      <c r="B984" t="s">
        <v>934</v>
      </c>
      <c r="C984" t="s">
        <v>95</v>
      </c>
      <c r="D984" t="s">
        <v>65</v>
      </c>
      <c r="E984" t="s">
        <v>933</v>
      </c>
      <c r="F984" s="13">
        <v>2</v>
      </c>
      <c r="G984" s="14">
        <v>1847.23</v>
      </c>
      <c r="H984" s="13">
        <v>285</v>
      </c>
      <c r="I984" t="s">
        <v>77</v>
      </c>
    </row>
    <row r="985" spans="1:9" x14ac:dyDescent="0.3">
      <c r="A985">
        <v>6376</v>
      </c>
      <c r="B985" t="s">
        <v>935</v>
      </c>
      <c r="C985" t="s">
        <v>92</v>
      </c>
      <c r="D985" t="s">
        <v>64</v>
      </c>
      <c r="E985" t="s">
        <v>933</v>
      </c>
      <c r="F985" s="13">
        <v>1</v>
      </c>
      <c r="G985" s="14">
        <v>2245.0100000000002</v>
      </c>
      <c r="H985" s="13">
        <v>285</v>
      </c>
      <c r="I985" t="s">
        <v>77</v>
      </c>
    </row>
    <row r="986" spans="1:9" x14ac:dyDescent="0.3">
      <c r="A986">
        <v>7884</v>
      </c>
      <c r="B986" t="s">
        <v>400</v>
      </c>
      <c r="C986" t="s">
        <v>137</v>
      </c>
      <c r="D986" t="s">
        <v>64</v>
      </c>
      <c r="E986" t="s">
        <v>933</v>
      </c>
      <c r="F986" s="13">
        <v>1</v>
      </c>
      <c r="G986" s="14">
        <v>1957.19</v>
      </c>
      <c r="H986" s="13">
        <v>285</v>
      </c>
      <c r="I986" t="s">
        <v>77</v>
      </c>
    </row>
    <row r="987" spans="1:9" x14ac:dyDescent="0.3">
      <c r="A987">
        <v>8175</v>
      </c>
      <c r="B987" t="s">
        <v>936</v>
      </c>
      <c r="C987" t="s">
        <v>100</v>
      </c>
      <c r="D987" t="s">
        <v>66</v>
      </c>
      <c r="E987" t="s">
        <v>933</v>
      </c>
      <c r="F987" s="13">
        <v>1</v>
      </c>
      <c r="G987" s="14">
        <v>3219.46</v>
      </c>
      <c r="H987" s="13">
        <v>285</v>
      </c>
      <c r="I987" t="s">
        <v>77</v>
      </c>
    </row>
    <row r="988" spans="1:9" x14ac:dyDescent="0.3">
      <c r="A988">
        <v>1471</v>
      </c>
      <c r="B988" t="s">
        <v>937</v>
      </c>
      <c r="C988" t="s">
        <v>90</v>
      </c>
      <c r="D988" t="s">
        <v>66</v>
      </c>
      <c r="E988" t="s">
        <v>938</v>
      </c>
      <c r="F988" s="13">
        <v>2</v>
      </c>
      <c r="G988" s="14">
        <v>2990.45</v>
      </c>
      <c r="H988" s="13">
        <v>284</v>
      </c>
      <c r="I988" t="s">
        <v>77</v>
      </c>
    </row>
    <row r="989" spans="1:9" x14ac:dyDescent="0.3">
      <c r="A989">
        <v>4450</v>
      </c>
      <c r="B989" t="s">
        <v>939</v>
      </c>
      <c r="C989" t="s">
        <v>103</v>
      </c>
      <c r="D989" t="s">
        <v>67</v>
      </c>
      <c r="E989" t="s">
        <v>938</v>
      </c>
      <c r="F989" s="13">
        <v>2</v>
      </c>
      <c r="G989" s="14">
        <v>367.02</v>
      </c>
      <c r="H989" s="13">
        <v>284</v>
      </c>
      <c r="I989" t="s">
        <v>77</v>
      </c>
    </row>
    <row r="990" spans="1:9" x14ac:dyDescent="0.3">
      <c r="A990">
        <v>4907</v>
      </c>
      <c r="B990" t="s">
        <v>588</v>
      </c>
      <c r="C990" t="s">
        <v>123</v>
      </c>
      <c r="D990" t="s">
        <v>65</v>
      </c>
      <c r="E990" t="s">
        <v>938</v>
      </c>
      <c r="F990" s="13">
        <v>3</v>
      </c>
      <c r="G990" s="14">
        <v>2683.11</v>
      </c>
      <c r="H990" s="13">
        <v>284</v>
      </c>
      <c r="I990" t="s">
        <v>77</v>
      </c>
    </row>
    <row r="991" spans="1:9" x14ac:dyDescent="0.3">
      <c r="A991">
        <v>5513</v>
      </c>
      <c r="B991" t="s">
        <v>940</v>
      </c>
      <c r="C991" t="s">
        <v>92</v>
      </c>
      <c r="D991" t="s">
        <v>64</v>
      </c>
      <c r="E991" t="s">
        <v>938</v>
      </c>
      <c r="F991" s="13">
        <v>2</v>
      </c>
      <c r="G991" s="14">
        <v>445.66</v>
      </c>
      <c r="H991" s="13">
        <v>284</v>
      </c>
      <c r="I991" t="s">
        <v>77</v>
      </c>
    </row>
    <row r="992" spans="1:9" x14ac:dyDescent="0.3">
      <c r="A992">
        <v>7751</v>
      </c>
      <c r="B992" t="s">
        <v>941</v>
      </c>
      <c r="C992" t="s">
        <v>90</v>
      </c>
      <c r="D992" t="s">
        <v>66</v>
      </c>
      <c r="E992" t="s">
        <v>938</v>
      </c>
      <c r="F992" s="13">
        <v>1</v>
      </c>
      <c r="G992" s="14">
        <v>94.26</v>
      </c>
      <c r="H992" s="13">
        <v>284</v>
      </c>
      <c r="I992" t="s">
        <v>77</v>
      </c>
    </row>
    <row r="993" spans="1:9" x14ac:dyDescent="0.3">
      <c r="A993">
        <v>1242</v>
      </c>
      <c r="B993" t="s">
        <v>942</v>
      </c>
      <c r="C993" t="s">
        <v>92</v>
      </c>
      <c r="D993" t="s">
        <v>64</v>
      </c>
      <c r="E993" t="s">
        <v>943</v>
      </c>
      <c r="F993" s="13">
        <v>2</v>
      </c>
      <c r="G993" s="14">
        <v>2911.08</v>
      </c>
      <c r="H993" s="13">
        <v>283</v>
      </c>
      <c r="I993" t="s">
        <v>77</v>
      </c>
    </row>
    <row r="994" spans="1:9" x14ac:dyDescent="0.3">
      <c r="A994">
        <v>1251</v>
      </c>
      <c r="B994" t="s">
        <v>135</v>
      </c>
      <c r="C994" t="s">
        <v>92</v>
      </c>
      <c r="D994" t="s">
        <v>64</v>
      </c>
      <c r="E994" t="s">
        <v>943</v>
      </c>
      <c r="F994" s="13">
        <v>2</v>
      </c>
      <c r="G994" s="14">
        <v>1309.67</v>
      </c>
      <c r="H994" s="13">
        <v>283</v>
      </c>
      <c r="I994" t="s">
        <v>77</v>
      </c>
    </row>
    <row r="995" spans="1:9" x14ac:dyDescent="0.3">
      <c r="A995">
        <v>1534</v>
      </c>
      <c r="B995" t="s">
        <v>259</v>
      </c>
      <c r="C995" t="s">
        <v>97</v>
      </c>
      <c r="D995" t="s">
        <v>65</v>
      </c>
      <c r="E995" t="s">
        <v>943</v>
      </c>
      <c r="F995" s="13">
        <v>2</v>
      </c>
      <c r="G995" s="14">
        <v>3209.45</v>
      </c>
      <c r="H995" s="13">
        <v>283</v>
      </c>
      <c r="I995" t="s">
        <v>77</v>
      </c>
    </row>
    <row r="996" spans="1:9" x14ac:dyDescent="0.3">
      <c r="A996">
        <v>1692</v>
      </c>
      <c r="B996" t="s">
        <v>313</v>
      </c>
      <c r="C996" t="s">
        <v>133</v>
      </c>
      <c r="D996" t="s">
        <v>64</v>
      </c>
      <c r="E996" t="s">
        <v>943</v>
      </c>
      <c r="F996" s="13">
        <v>2</v>
      </c>
      <c r="G996" s="14">
        <v>6383.53</v>
      </c>
      <c r="H996" s="13">
        <v>283</v>
      </c>
      <c r="I996" t="s">
        <v>77</v>
      </c>
    </row>
    <row r="997" spans="1:9" x14ac:dyDescent="0.3">
      <c r="A997">
        <v>1914</v>
      </c>
      <c r="B997" t="s">
        <v>253</v>
      </c>
      <c r="C997" t="s">
        <v>92</v>
      </c>
      <c r="D997" t="s">
        <v>64</v>
      </c>
      <c r="E997" t="s">
        <v>943</v>
      </c>
      <c r="F997" s="13">
        <v>2</v>
      </c>
      <c r="G997" s="14">
        <v>6289.32</v>
      </c>
      <c r="H997" s="13">
        <v>283</v>
      </c>
      <c r="I997" t="s">
        <v>77</v>
      </c>
    </row>
    <row r="998" spans="1:9" x14ac:dyDescent="0.3">
      <c r="A998">
        <v>4837</v>
      </c>
      <c r="B998" t="s">
        <v>944</v>
      </c>
      <c r="C998" t="s">
        <v>137</v>
      </c>
      <c r="D998" t="s">
        <v>64</v>
      </c>
      <c r="E998" t="s">
        <v>943</v>
      </c>
      <c r="F998" s="13">
        <v>1</v>
      </c>
      <c r="G998" s="14">
        <v>117.38</v>
      </c>
      <c r="H998" s="13">
        <v>283</v>
      </c>
      <c r="I998" t="s">
        <v>77</v>
      </c>
    </row>
    <row r="999" spans="1:9" x14ac:dyDescent="0.3">
      <c r="A999">
        <v>5538</v>
      </c>
      <c r="B999" t="s">
        <v>945</v>
      </c>
      <c r="C999" t="s">
        <v>133</v>
      </c>
      <c r="D999" t="s">
        <v>64</v>
      </c>
      <c r="E999" t="s">
        <v>943</v>
      </c>
      <c r="F999" s="13">
        <v>1</v>
      </c>
      <c r="G999" s="14">
        <v>415.71</v>
      </c>
      <c r="H999" s="13">
        <v>283</v>
      </c>
      <c r="I999" t="s">
        <v>77</v>
      </c>
    </row>
    <row r="1000" spans="1:9" x14ac:dyDescent="0.3">
      <c r="A1000">
        <v>6017</v>
      </c>
      <c r="B1000" t="s">
        <v>946</v>
      </c>
      <c r="C1000" t="s">
        <v>133</v>
      </c>
      <c r="D1000" t="s">
        <v>64</v>
      </c>
      <c r="E1000" t="s">
        <v>943</v>
      </c>
      <c r="F1000" s="13">
        <v>2</v>
      </c>
      <c r="G1000" s="14">
        <v>2772.42</v>
      </c>
      <c r="H1000" s="13">
        <v>283</v>
      </c>
      <c r="I1000" t="s">
        <v>77</v>
      </c>
    </row>
    <row r="1001" spans="1:9" x14ac:dyDescent="0.3">
      <c r="A1001">
        <v>7171</v>
      </c>
      <c r="B1001" t="s">
        <v>109</v>
      </c>
      <c r="C1001" t="s">
        <v>92</v>
      </c>
      <c r="D1001" t="s">
        <v>64</v>
      </c>
      <c r="E1001" t="s">
        <v>943</v>
      </c>
      <c r="F1001" s="13">
        <v>2</v>
      </c>
      <c r="G1001" s="14">
        <v>6340.44</v>
      </c>
      <c r="H1001" s="13">
        <v>283</v>
      </c>
      <c r="I1001" t="s">
        <v>77</v>
      </c>
    </row>
    <row r="1002" spans="1:9" x14ac:dyDescent="0.3">
      <c r="A1002">
        <v>7732</v>
      </c>
      <c r="B1002" t="s">
        <v>947</v>
      </c>
      <c r="C1002" t="s">
        <v>100</v>
      </c>
      <c r="D1002" t="s">
        <v>66</v>
      </c>
      <c r="E1002" t="s">
        <v>943</v>
      </c>
      <c r="F1002" s="13">
        <v>2</v>
      </c>
      <c r="G1002" s="14">
        <v>6196.98</v>
      </c>
      <c r="H1002" s="13">
        <v>283</v>
      </c>
      <c r="I1002" t="s">
        <v>77</v>
      </c>
    </row>
    <row r="1003" spans="1:9" x14ac:dyDescent="0.3">
      <c r="A1003">
        <v>8942</v>
      </c>
      <c r="B1003" t="s">
        <v>204</v>
      </c>
      <c r="C1003" t="s">
        <v>92</v>
      </c>
      <c r="D1003" t="s">
        <v>64</v>
      </c>
      <c r="E1003" t="s">
        <v>943</v>
      </c>
      <c r="F1003" s="13">
        <v>2</v>
      </c>
      <c r="G1003" s="14">
        <v>7180.88</v>
      </c>
      <c r="H1003" s="13">
        <v>283</v>
      </c>
      <c r="I1003" t="s">
        <v>77</v>
      </c>
    </row>
    <row r="1004" spans="1:9" x14ac:dyDescent="0.3">
      <c r="A1004">
        <v>856</v>
      </c>
      <c r="B1004" t="s">
        <v>414</v>
      </c>
      <c r="C1004" t="s">
        <v>92</v>
      </c>
      <c r="D1004" t="s">
        <v>64</v>
      </c>
      <c r="E1004" t="s">
        <v>948</v>
      </c>
      <c r="F1004" s="13">
        <v>1</v>
      </c>
      <c r="G1004" s="14">
        <v>133.65</v>
      </c>
      <c r="H1004" s="13">
        <v>282</v>
      </c>
      <c r="I1004" t="s">
        <v>77</v>
      </c>
    </row>
    <row r="1005" spans="1:9" x14ac:dyDescent="0.3">
      <c r="A1005">
        <v>1535</v>
      </c>
      <c r="B1005" t="s">
        <v>949</v>
      </c>
      <c r="C1005" t="s">
        <v>133</v>
      </c>
      <c r="D1005" t="s">
        <v>64</v>
      </c>
      <c r="E1005" t="s">
        <v>948</v>
      </c>
      <c r="F1005" s="13">
        <v>2</v>
      </c>
      <c r="G1005" s="14">
        <v>5526.31</v>
      </c>
      <c r="H1005" s="13">
        <v>282</v>
      </c>
      <c r="I1005" t="s">
        <v>77</v>
      </c>
    </row>
    <row r="1006" spans="1:9" x14ac:dyDescent="0.3">
      <c r="A1006">
        <v>6162</v>
      </c>
      <c r="B1006" t="s">
        <v>950</v>
      </c>
      <c r="C1006" t="s">
        <v>137</v>
      </c>
      <c r="D1006" t="s">
        <v>64</v>
      </c>
      <c r="E1006" t="s">
        <v>948</v>
      </c>
      <c r="F1006" s="13">
        <v>1</v>
      </c>
      <c r="G1006" s="14">
        <v>2668.88</v>
      </c>
      <c r="H1006" s="13">
        <v>282</v>
      </c>
      <c r="I1006" t="s">
        <v>77</v>
      </c>
    </row>
    <row r="1007" spans="1:9" x14ac:dyDescent="0.3">
      <c r="A1007">
        <v>7572</v>
      </c>
      <c r="B1007" t="s">
        <v>951</v>
      </c>
      <c r="C1007" t="s">
        <v>92</v>
      </c>
      <c r="D1007" t="s">
        <v>64</v>
      </c>
      <c r="E1007" t="s">
        <v>948</v>
      </c>
      <c r="F1007" s="13">
        <v>1</v>
      </c>
      <c r="G1007" s="14">
        <v>130.16</v>
      </c>
      <c r="H1007" s="13">
        <v>282</v>
      </c>
      <c r="I1007" t="s">
        <v>77</v>
      </c>
    </row>
    <row r="1008" spans="1:9" x14ac:dyDescent="0.3">
      <c r="A1008">
        <v>8227</v>
      </c>
      <c r="B1008" t="s">
        <v>642</v>
      </c>
      <c r="C1008" t="s">
        <v>95</v>
      </c>
      <c r="D1008" t="s">
        <v>65</v>
      </c>
      <c r="E1008" t="s">
        <v>948</v>
      </c>
      <c r="F1008" s="13">
        <v>1</v>
      </c>
      <c r="G1008" s="14">
        <v>514.42999999999995</v>
      </c>
      <c r="H1008" s="13">
        <v>282</v>
      </c>
      <c r="I1008" t="s">
        <v>77</v>
      </c>
    </row>
    <row r="1009" spans="1:9" x14ac:dyDescent="0.3">
      <c r="A1009">
        <v>8359</v>
      </c>
      <c r="B1009" t="s">
        <v>448</v>
      </c>
      <c r="C1009" t="s">
        <v>90</v>
      </c>
      <c r="D1009" t="s">
        <v>66</v>
      </c>
      <c r="E1009" t="s">
        <v>948</v>
      </c>
      <c r="F1009" s="13">
        <v>2</v>
      </c>
      <c r="G1009" s="14">
        <v>1489.8</v>
      </c>
      <c r="H1009" s="13">
        <v>282</v>
      </c>
      <c r="I1009" t="s">
        <v>77</v>
      </c>
    </row>
    <row r="1010" spans="1:9" x14ac:dyDescent="0.3">
      <c r="A1010">
        <v>1270</v>
      </c>
      <c r="B1010" t="s">
        <v>302</v>
      </c>
      <c r="C1010" t="s">
        <v>92</v>
      </c>
      <c r="D1010" t="s">
        <v>64</v>
      </c>
      <c r="E1010" t="s">
        <v>952</v>
      </c>
      <c r="F1010" s="13">
        <v>1</v>
      </c>
      <c r="G1010" s="14">
        <v>1163.29</v>
      </c>
      <c r="H1010" s="13">
        <v>281</v>
      </c>
      <c r="I1010" t="s">
        <v>77</v>
      </c>
    </row>
    <row r="1011" spans="1:9" x14ac:dyDescent="0.3">
      <c r="A1011">
        <v>2062</v>
      </c>
      <c r="B1011" t="s">
        <v>151</v>
      </c>
      <c r="C1011" t="s">
        <v>123</v>
      </c>
      <c r="D1011" t="s">
        <v>65</v>
      </c>
      <c r="E1011" t="s">
        <v>952</v>
      </c>
      <c r="F1011" s="13">
        <v>1</v>
      </c>
      <c r="G1011" s="14">
        <v>268.87</v>
      </c>
      <c r="H1011" s="13">
        <v>281</v>
      </c>
      <c r="I1011" t="s">
        <v>77</v>
      </c>
    </row>
    <row r="1012" spans="1:9" x14ac:dyDescent="0.3">
      <c r="A1012">
        <v>5216</v>
      </c>
      <c r="B1012" t="s">
        <v>756</v>
      </c>
      <c r="C1012" t="s">
        <v>95</v>
      </c>
      <c r="D1012" t="s">
        <v>65</v>
      </c>
      <c r="E1012" t="s">
        <v>952</v>
      </c>
      <c r="F1012" s="13">
        <v>2</v>
      </c>
      <c r="G1012" s="14">
        <v>5682.28</v>
      </c>
      <c r="H1012" s="13">
        <v>281</v>
      </c>
      <c r="I1012" t="s">
        <v>77</v>
      </c>
    </row>
    <row r="1013" spans="1:9" x14ac:dyDescent="0.3">
      <c r="A1013">
        <v>5356</v>
      </c>
      <c r="B1013" t="s">
        <v>953</v>
      </c>
      <c r="C1013" t="s">
        <v>87</v>
      </c>
      <c r="D1013" t="s">
        <v>64</v>
      </c>
      <c r="E1013" t="s">
        <v>952</v>
      </c>
      <c r="F1013" s="13">
        <v>1</v>
      </c>
      <c r="G1013" s="14">
        <v>2852.19</v>
      </c>
      <c r="H1013" s="13">
        <v>281</v>
      </c>
      <c r="I1013" t="s">
        <v>77</v>
      </c>
    </row>
    <row r="1014" spans="1:9" x14ac:dyDescent="0.3">
      <c r="A1014">
        <v>6926</v>
      </c>
      <c r="B1014" t="s">
        <v>870</v>
      </c>
      <c r="C1014" t="s">
        <v>92</v>
      </c>
      <c r="D1014" t="s">
        <v>64</v>
      </c>
      <c r="E1014" t="s">
        <v>952</v>
      </c>
      <c r="F1014" s="13">
        <v>1</v>
      </c>
      <c r="G1014" s="14">
        <v>5335.49</v>
      </c>
      <c r="H1014" s="13">
        <v>281</v>
      </c>
      <c r="I1014" t="s">
        <v>77</v>
      </c>
    </row>
    <row r="1015" spans="1:9" x14ac:dyDescent="0.3">
      <c r="A1015">
        <v>7313</v>
      </c>
      <c r="B1015" t="s">
        <v>348</v>
      </c>
      <c r="C1015" t="s">
        <v>92</v>
      </c>
      <c r="D1015" t="s">
        <v>64</v>
      </c>
      <c r="E1015" t="s">
        <v>952</v>
      </c>
      <c r="F1015" s="13">
        <v>1</v>
      </c>
      <c r="G1015" s="14">
        <v>12593.23</v>
      </c>
      <c r="H1015" s="13">
        <v>281</v>
      </c>
      <c r="I1015" t="s">
        <v>77</v>
      </c>
    </row>
    <row r="1016" spans="1:9" x14ac:dyDescent="0.3">
      <c r="A1016">
        <v>7857</v>
      </c>
      <c r="B1016" t="s">
        <v>711</v>
      </c>
      <c r="C1016" t="s">
        <v>92</v>
      </c>
      <c r="D1016" t="s">
        <v>64</v>
      </c>
      <c r="E1016" t="s">
        <v>952</v>
      </c>
      <c r="F1016" s="13">
        <v>1</v>
      </c>
      <c r="G1016" s="14">
        <v>1845.67</v>
      </c>
      <c r="H1016" s="13">
        <v>281</v>
      </c>
      <c r="I1016" t="s">
        <v>77</v>
      </c>
    </row>
    <row r="1017" spans="1:9" x14ac:dyDescent="0.3">
      <c r="A1017">
        <v>7966</v>
      </c>
      <c r="B1017" t="s">
        <v>954</v>
      </c>
      <c r="C1017" t="s">
        <v>90</v>
      </c>
      <c r="D1017" t="s">
        <v>66</v>
      </c>
      <c r="E1017" t="s">
        <v>952</v>
      </c>
      <c r="F1017" s="13">
        <v>2</v>
      </c>
      <c r="G1017" s="14">
        <v>5516.22</v>
      </c>
      <c r="H1017" s="13">
        <v>281</v>
      </c>
      <c r="I1017" t="s">
        <v>77</v>
      </c>
    </row>
    <row r="1018" spans="1:9" x14ac:dyDescent="0.3">
      <c r="A1018">
        <v>8704</v>
      </c>
      <c r="B1018" t="s">
        <v>848</v>
      </c>
      <c r="C1018" t="s">
        <v>100</v>
      </c>
      <c r="D1018" t="s">
        <v>66</v>
      </c>
      <c r="E1018" t="s">
        <v>952</v>
      </c>
      <c r="F1018" s="13">
        <v>1</v>
      </c>
      <c r="G1018" s="14">
        <v>265.93</v>
      </c>
      <c r="H1018" s="13">
        <v>281</v>
      </c>
      <c r="I1018" t="s">
        <v>77</v>
      </c>
    </row>
    <row r="1019" spans="1:9" x14ac:dyDescent="0.3">
      <c r="A1019">
        <v>1849</v>
      </c>
      <c r="B1019" t="s">
        <v>400</v>
      </c>
      <c r="C1019" t="s">
        <v>92</v>
      </c>
      <c r="D1019" t="s">
        <v>64</v>
      </c>
      <c r="E1019" t="s">
        <v>955</v>
      </c>
      <c r="F1019" s="13">
        <v>1</v>
      </c>
      <c r="G1019" s="14">
        <v>12880.37</v>
      </c>
      <c r="H1019" s="13">
        <v>280</v>
      </c>
      <c r="I1019" t="s">
        <v>77</v>
      </c>
    </row>
    <row r="1020" spans="1:9" x14ac:dyDescent="0.3">
      <c r="A1020">
        <v>3435</v>
      </c>
      <c r="B1020" t="s">
        <v>202</v>
      </c>
      <c r="C1020" t="s">
        <v>137</v>
      </c>
      <c r="D1020" t="s">
        <v>64</v>
      </c>
      <c r="E1020" t="s">
        <v>955</v>
      </c>
      <c r="F1020" s="13">
        <v>2</v>
      </c>
      <c r="G1020" s="14">
        <v>4169.1499999999996</v>
      </c>
      <c r="H1020" s="13">
        <v>280</v>
      </c>
      <c r="I1020" t="s">
        <v>77</v>
      </c>
    </row>
    <row r="1021" spans="1:9" x14ac:dyDescent="0.3">
      <c r="A1021">
        <v>3588</v>
      </c>
      <c r="B1021" t="s">
        <v>956</v>
      </c>
      <c r="C1021" t="s">
        <v>95</v>
      </c>
      <c r="D1021" t="s">
        <v>65</v>
      </c>
      <c r="E1021" t="s">
        <v>955</v>
      </c>
      <c r="F1021" s="13">
        <v>1</v>
      </c>
      <c r="G1021" s="14">
        <v>443.27</v>
      </c>
      <c r="H1021" s="13">
        <v>280</v>
      </c>
      <c r="I1021" t="s">
        <v>77</v>
      </c>
    </row>
    <row r="1022" spans="1:9" x14ac:dyDescent="0.3">
      <c r="A1022">
        <v>3795</v>
      </c>
      <c r="B1022" t="s">
        <v>142</v>
      </c>
      <c r="C1022" t="s">
        <v>97</v>
      </c>
      <c r="D1022" t="s">
        <v>65</v>
      </c>
      <c r="E1022" t="s">
        <v>955</v>
      </c>
      <c r="F1022" s="13">
        <v>1</v>
      </c>
      <c r="G1022" s="14">
        <v>115.14</v>
      </c>
      <c r="H1022" s="13">
        <v>280</v>
      </c>
      <c r="I1022" t="s">
        <v>77</v>
      </c>
    </row>
    <row r="1023" spans="1:9" x14ac:dyDescent="0.3">
      <c r="A1023">
        <v>4691</v>
      </c>
      <c r="B1023" t="s">
        <v>415</v>
      </c>
      <c r="C1023" t="s">
        <v>97</v>
      </c>
      <c r="D1023" t="s">
        <v>65</v>
      </c>
      <c r="E1023" t="s">
        <v>955</v>
      </c>
      <c r="F1023" s="13">
        <v>2</v>
      </c>
      <c r="G1023" s="14">
        <v>7407.62</v>
      </c>
      <c r="H1023" s="13">
        <v>280</v>
      </c>
      <c r="I1023" t="s">
        <v>77</v>
      </c>
    </row>
    <row r="1024" spans="1:9" x14ac:dyDescent="0.3">
      <c r="A1024">
        <v>4927</v>
      </c>
      <c r="B1024" t="s">
        <v>636</v>
      </c>
      <c r="C1024" t="s">
        <v>95</v>
      </c>
      <c r="D1024" t="s">
        <v>65</v>
      </c>
      <c r="E1024" t="s">
        <v>955</v>
      </c>
      <c r="F1024" s="13">
        <v>1</v>
      </c>
      <c r="G1024" s="14">
        <v>660.96</v>
      </c>
      <c r="H1024" s="13">
        <v>280</v>
      </c>
      <c r="I1024" t="s">
        <v>77</v>
      </c>
    </row>
    <row r="1025" spans="1:9" x14ac:dyDescent="0.3">
      <c r="A1025">
        <v>6732</v>
      </c>
      <c r="B1025" t="s">
        <v>957</v>
      </c>
      <c r="C1025" t="s">
        <v>92</v>
      </c>
      <c r="D1025" t="s">
        <v>64</v>
      </c>
      <c r="E1025" t="s">
        <v>955</v>
      </c>
      <c r="F1025" s="13">
        <v>2</v>
      </c>
      <c r="G1025" s="14">
        <v>4341.17</v>
      </c>
      <c r="H1025" s="13">
        <v>280</v>
      </c>
      <c r="I1025" t="s">
        <v>77</v>
      </c>
    </row>
    <row r="1026" spans="1:9" x14ac:dyDescent="0.3">
      <c r="A1026">
        <v>7508</v>
      </c>
      <c r="B1026" t="s">
        <v>958</v>
      </c>
      <c r="C1026" t="s">
        <v>92</v>
      </c>
      <c r="D1026" t="s">
        <v>64</v>
      </c>
      <c r="E1026" t="s">
        <v>955</v>
      </c>
      <c r="F1026" s="13">
        <v>1</v>
      </c>
      <c r="G1026" s="14">
        <v>1443.95</v>
      </c>
      <c r="H1026" s="13">
        <v>280</v>
      </c>
      <c r="I1026" t="s">
        <v>77</v>
      </c>
    </row>
    <row r="1027" spans="1:9" x14ac:dyDescent="0.3">
      <c r="A1027">
        <v>2344</v>
      </c>
      <c r="B1027" t="s">
        <v>505</v>
      </c>
      <c r="C1027" t="s">
        <v>133</v>
      </c>
      <c r="D1027" t="s">
        <v>64</v>
      </c>
      <c r="E1027" t="s">
        <v>959</v>
      </c>
      <c r="F1027" s="13">
        <v>2</v>
      </c>
      <c r="G1027" s="14">
        <v>2193.4299999999998</v>
      </c>
      <c r="H1027" s="13">
        <v>279</v>
      </c>
      <c r="I1027" t="s">
        <v>77</v>
      </c>
    </row>
    <row r="1028" spans="1:9" x14ac:dyDescent="0.3">
      <c r="A1028">
        <v>3084</v>
      </c>
      <c r="B1028" t="s">
        <v>169</v>
      </c>
      <c r="C1028" t="s">
        <v>95</v>
      </c>
      <c r="D1028" t="s">
        <v>65</v>
      </c>
      <c r="E1028" t="s">
        <v>959</v>
      </c>
      <c r="F1028" s="13">
        <v>3</v>
      </c>
      <c r="G1028" s="14">
        <v>1933.43</v>
      </c>
      <c r="H1028" s="13">
        <v>279</v>
      </c>
      <c r="I1028" t="s">
        <v>77</v>
      </c>
    </row>
    <row r="1029" spans="1:9" x14ac:dyDescent="0.3">
      <c r="A1029">
        <v>5490</v>
      </c>
      <c r="B1029" t="s">
        <v>960</v>
      </c>
      <c r="C1029" t="s">
        <v>133</v>
      </c>
      <c r="D1029" t="s">
        <v>64</v>
      </c>
      <c r="E1029" t="s">
        <v>959</v>
      </c>
      <c r="F1029" s="13">
        <v>3</v>
      </c>
      <c r="G1029" s="14">
        <v>7495.4</v>
      </c>
      <c r="H1029" s="13">
        <v>279</v>
      </c>
      <c r="I1029" t="s">
        <v>77</v>
      </c>
    </row>
    <row r="1030" spans="1:9" x14ac:dyDescent="0.3">
      <c r="A1030">
        <v>879</v>
      </c>
      <c r="B1030" t="s">
        <v>961</v>
      </c>
      <c r="C1030" t="s">
        <v>133</v>
      </c>
      <c r="D1030" t="s">
        <v>64</v>
      </c>
      <c r="E1030" t="s">
        <v>962</v>
      </c>
      <c r="F1030" s="13">
        <v>2</v>
      </c>
      <c r="G1030" s="14">
        <v>7832.4</v>
      </c>
      <c r="H1030" s="13">
        <v>278</v>
      </c>
      <c r="I1030" t="s">
        <v>77</v>
      </c>
    </row>
    <row r="1031" spans="1:9" x14ac:dyDescent="0.3">
      <c r="A1031">
        <v>1305</v>
      </c>
      <c r="B1031" t="s">
        <v>963</v>
      </c>
      <c r="C1031" t="s">
        <v>92</v>
      </c>
      <c r="D1031" t="s">
        <v>64</v>
      </c>
      <c r="E1031" t="s">
        <v>962</v>
      </c>
      <c r="F1031" s="13">
        <v>1</v>
      </c>
      <c r="G1031" s="14">
        <v>3610.85</v>
      </c>
      <c r="H1031" s="13">
        <v>278</v>
      </c>
      <c r="I1031" t="s">
        <v>77</v>
      </c>
    </row>
    <row r="1032" spans="1:9" x14ac:dyDescent="0.3">
      <c r="A1032">
        <v>4635</v>
      </c>
      <c r="B1032" t="s">
        <v>964</v>
      </c>
      <c r="C1032" t="s">
        <v>133</v>
      </c>
      <c r="D1032" t="s">
        <v>64</v>
      </c>
      <c r="E1032" t="s">
        <v>962</v>
      </c>
      <c r="F1032" s="13">
        <v>2</v>
      </c>
      <c r="G1032" s="14">
        <v>6907.44</v>
      </c>
      <c r="H1032" s="13">
        <v>278</v>
      </c>
      <c r="I1032" t="s">
        <v>77</v>
      </c>
    </row>
    <row r="1033" spans="1:9" x14ac:dyDescent="0.3">
      <c r="A1033">
        <v>6206</v>
      </c>
      <c r="B1033" t="s">
        <v>965</v>
      </c>
      <c r="C1033" t="s">
        <v>92</v>
      </c>
      <c r="D1033" t="s">
        <v>64</v>
      </c>
      <c r="E1033" t="s">
        <v>962</v>
      </c>
      <c r="F1033" s="13">
        <v>1</v>
      </c>
      <c r="G1033" s="14">
        <v>567.62</v>
      </c>
      <c r="H1033" s="13">
        <v>278</v>
      </c>
      <c r="I1033" t="s">
        <v>77</v>
      </c>
    </row>
    <row r="1034" spans="1:9" x14ac:dyDescent="0.3">
      <c r="A1034">
        <v>6561</v>
      </c>
      <c r="B1034" t="s">
        <v>966</v>
      </c>
      <c r="C1034" t="s">
        <v>133</v>
      </c>
      <c r="D1034" t="s">
        <v>64</v>
      </c>
      <c r="E1034" t="s">
        <v>962</v>
      </c>
      <c r="F1034" s="13">
        <v>1</v>
      </c>
      <c r="G1034" s="14">
        <v>207.11</v>
      </c>
      <c r="H1034" s="13">
        <v>278</v>
      </c>
      <c r="I1034" t="s">
        <v>77</v>
      </c>
    </row>
    <row r="1035" spans="1:9" x14ac:dyDescent="0.3">
      <c r="A1035">
        <v>7188</v>
      </c>
      <c r="B1035" t="s">
        <v>967</v>
      </c>
      <c r="C1035" t="s">
        <v>92</v>
      </c>
      <c r="D1035" t="s">
        <v>64</v>
      </c>
      <c r="E1035" t="s">
        <v>962</v>
      </c>
      <c r="F1035" s="13">
        <v>1</v>
      </c>
      <c r="G1035" s="14">
        <v>84.29</v>
      </c>
      <c r="H1035" s="13">
        <v>278</v>
      </c>
      <c r="I1035" t="s">
        <v>77</v>
      </c>
    </row>
    <row r="1036" spans="1:9" x14ac:dyDescent="0.3">
      <c r="A1036">
        <v>1866</v>
      </c>
      <c r="B1036" t="s">
        <v>968</v>
      </c>
      <c r="C1036" t="s">
        <v>95</v>
      </c>
      <c r="D1036" t="s">
        <v>65</v>
      </c>
      <c r="E1036" t="s">
        <v>969</v>
      </c>
      <c r="F1036" s="13">
        <v>1</v>
      </c>
      <c r="G1036" s="14">
        <v>913.96</v>
      </c>
      <c r="H1036" s="13">
        <v>277</v>
      </c>
      <c r="I1036" t="s">
        <v>77</v>
      </c>
    </row>
    <row r="1037" spans="1:9" x14ac:dyDescent="0.3">
      <c r="A1037">
        <v>1869</v>
      </c>
      <c r="B1037" t="s">
        <v>534</v>
      </c>
      <c r="C1037" t="s">
        <v>95</v>
      </c>
      <c r="D1037" t="s">
        <v>65</v>
      </c>
      <c r="E1037" t="s">
        <v>969</v>
      </c>
      <c r="F1037" s="13">
        <v>2</v>
      </c>
      <c r="G1037" s="14">
        <v>5174.3900000000003</v>
      </c>
      <c r="H1037" s="13">
        <v>277</v>
      </c>
      <c r="I1037" t="s">
        <v>77</v>
      </c>
    </row>
    <row r="1038" spans="1:9" x14ac:dyDescent="0.3">
      <c r="A1038">
        <v>4931</v>
      </c>
      <c r="B1038" t="s">
        <v>970</v>
      </c>
      <c r="C1038" t="s">
        <v>92</v>
      </c>
      <c r="D1038" t="s">
        <v>64</v>
      </c>
      <c r="E1038" t="s">
        <v>969</v>
      </c>
      <c r="F1038" s="13">
        <v>1</v>
      </c>
      <c r="G1038" s="14">
        <v>1076.71</v>
      </c>
      <c r="H1038" s="13">
        <v>277</v>
      </c>
      <c r="I1038" t="s">
        <v>77</v>
      </c>
    </row>
    <row r="1039" spans="1:9" x14ac:dyDescent="0.3">
      <c r="A1039">
        <v>6388</v>
      </c>
      <c r="B1039" t="s">
        <v>971</v>
      </c>
      <c r="C1039" t="s">
        <v>90</v>
      </c>
      <c r="D1039" t="s">
        <v>66</v>
      </c>
      <c r="E1039" t="s">
        <v>969</v>
      </c>
      <c r="F1039" s="13">
        <v>1</v>
      </c>
      <c r="G1039" s="14">
        <v>3930.72</v>
      </c>
      <c r="H1039" s="13">
        <v>277</v>
      </c>
      <c r="I1039" t="s">
        <v>77</v>
      </c>
    </row>
    <row r="1040" spans="1:9" x14ac:dyDescent="0.3">
      <c r="A1040">
        <v>7224</v>
      </c>
      <c r="B1040" t="s">
        <v>972</v>
      </c>
      <c r="C1040" t="s">
        <v>133</v>
      </c>
      <c r="D1040" t="s">
        <v>64</v>
      </c>
      <c r="E1040" t="s">
        <v>969</v>
      </c>
      <c r="F1040" s="13">
        <v>1</v>
      </c>
      <c r="G1040" s="14">
        <v>1254.94</v>
      </c>
      <c r="H1040" s="13">
        <v>277</v>
      </c>
      <c r="I1040" t="s">
        <v>77</v>
      </c>
    </row>
    <row r="1041" spans="1:9" x14ac:dyDescent="0.3">
      <c r="A1041">
        <v>7377</v>
      </c>
      <c r="B1041" t="s">
        <v>973</v>
      </c>
      <c r="C1041" t="s">
        <v>97</v>
      </c>
      <c r="D1041" t="s">
        <v>65</v>
      </c>
      <c r="E1041" t="s">
        <v>969</v>
      </c>
      <c r="F1041" s="13">
        <v>3</v>
      </c>
      <c r="G1041" s="14">
        <v>5645.33</v>
      </c>
      <c r="H1041" s="13">
        <v>277</v>
      </c>
      <c r="I1041" t="s">
        <v>77</v>
      </c>
    </row>
    <row r="1042" spans="1:9" x14ac:dyDescent="0.3">
      <c r="A1042">
        <v>8092</v>
      </c>
      <c r="B1042" t="s">
        <v>449</v>
      </c>
      <c r="C1042" t="s">
        <v>92</v>
      </c>
      <c r="D1042" t="s">
        <v>64</v>
      </c>
      <c r="E1042" t="s">
        <v>969</v>
      </c>
      <c r="F1042" s="13">
        <v>1</v>
      </c>
      <c r="G1042" s="14">
        <v>466.76</v>
      </c>
      <c r="H1042" s="13">
        <v>277</v>
      </c>
      <c r="I1042" t="s">
        <v>77</v>
      </c>
    </row>
    <row r="1043" spans="1:9" x14ac:dyDescent="0.3">
      <c r="A1043">
        <v>8215</v>
      </c>
      <c r="B1043" t="s">
        <v>974</v>
      </c>
      <c r="C1043" t="s">
        <v>123</v>
      </c>
      <c r="D1043" t="s">
        <v>65</v>
      </c>
      <c r="E1043" t="s">
        <v>969</v>
      </c>
      <c r="F1043" s="13">
        <v>1</v>
      </c>
      <c r="G1043" s="14">
        <v>363.04</v>
      </c>
      <c r="H1043" s="13">
        <v>277</v>
      </c>
      <c r="I1043" t="s">
        <v>77</v>
      </c>
    </row>
    <row r="1044" spans="1:9" x14ac:dyDescent="0.3">
      <c r="A1044">
        <v>2778</v>
      </c>
      <c r="B1044" t="s">
        <v>116</v>
      </c>
      <c r="C1044" t="s">
        <v>97</v>
      </c>
      <c r="D1044" t="s">
        <v>65</v>
      </c>
      <c r="E1044" t="s">
        <v>975</v>
      </c>
      <c r="F1044" s="13">
        <v>1</v>
      </c>
      <c r="G1044" s="14">
        <v>1241.17</v>
      </c>
      <c r="H1044" s="13">
        <v>276</v>
      </c>
      <c r="I1044" t="s">
        <v>77</v>
      </c>
    </row>
    <row r="1045" spans="1:9" x14ac:dyDescent="0.3">
      <c r="A1045">
        <v>2963</v>
      </c>
      <c r="B1045" t="s">
        <v>99</v>
      </c>
      <c r="C1045" t="s">
        <v>137</v>
      </c>
      <c r="D1045" t="s">
        <v>64</v>
      </c>
      <c r="E1045" t="s">
        <v>975</v>
      </c>
      <c r="F1045" s="13">
        <v>1</v>
      </c>
      <c r="G1045" s="14">
        <v>1135.08</v>
      </c>
      <c r="H1045" s="13">
        <v>276</v>
      </c>
      <c r="I1045" t="s">
        <v>77</v>
      </c>
    </row>
    <row r="1046" spans="1:9" x14ac:dyDescent="0.3">
      <c r="A1046">
        <v>3988</v>
      </c>
      <c r="B1046" t="s">
        <v>976</v>
      </c>
      <c r="C1046" t="s">
        <v>97</v>
      </c>
      <c r="D1046" t="s">
        <v>65</v>
      </c>
      <c r="E1046" t="s">
        <v>975</v>
      </c>
      <c r="F1046" s="13">
        <v>1</v>
      </c>
      <c r="G1046" s="14">
        <v>604.51</v>
      </c>
      <c r="H1046" s="13">
        <v>276</v>
      </c>
      <c r="I1046" t="s">
        <v>77</v>
      </c>
    </row>
    <row r="1047" spans="1:9" x14ac:dyDescent="0.3">
      <c r="A1047">
        <v>927</v>
      </c>
      <c r="B1047" t="s">
        <v>348</v>
      </c>
      <c r="C1047" t="s">
        <v>95</v>
      </c>
      <c r="D1047" t="s">
        <v>65</v>
      </c>
      <c r="E1047" t="s">
        <v>977</v>
      </c>
      <c r="F1047" s="13">
        <v>5</v>
      </c>
      <c r="G1047" s="14">
        <v>20973.69</v>
      </c>
      <c r="H1047" s="13">
        <v>275</v>
      </c>
      <c r="I1047" t="s">
        <v>77</v>
      </c>
    </row>
    <row r="1048" spans="1:9" x14ac:dyDescent="0.3">
      <c r="A1048">
        <v>1769</v>
      </c>
      <c r="B1048" t="s">
        <v>978</v>
      </c>
      <c r="C1048" t="s">
        <v>92</v>
      </c>
      <c r="D1048" t="s">
        <v>64</v>
      </c>
      <c r="E1048" t="s">
        <v>977</v>
      </c>
      <c r="F1048" s="13">
        <v>1</v>
      </c>
      <c r="G1048" s="14">
        <v>335.1</v>
      </c>
      <c r="H1048" s="13">
        <v>275</v>
      </c>
      <c r="I1048" t="s">
        <v>77</v>
      </c>
    </row>
    <row r="1049" spans="1:9" x14ac:dyDescent="0.3">
      <c r="A1049">
        <v>2385</v>
      </c>
      <c r="B1049" t="s">
        <v>979</v>
      </c>
      <c r="C1049" t="s">
        <v>92</v>
      </c>
      <c r="D1049" t="s">
        <v>64</v>
      </c>
      <c r="E1049" t="s">
        <v>977</v>
      </c>
      <c r="F1049" s="13">
        <v>1</v>
      </c>
      <c r="G1049" s="14">
        <v>3906.83</v>
      </c>
      <c r="H1049" s="13">
        <v>275</v>
      </c>
      <c r="I1049" t="s">
        <v>77</v>
      </c>
    </row>
    <row r="1050" spans="1:9" x14ac:dyDescent="0.3">
      <c r="A1050">
        <v>2552</v>
      </c>
      <c r="B1050" t="s">
        <v>980</v>
      </c>
      <c r="C1050" t="s">
        <v>137</v>
      </c>
      <c r="D1050" t="s">
        <v>64</v>
      </c>
      <c r="E1050" t="s">
        <v>977</v>
      </c>
      <c r="F1050" s="13">
        <v>1</v>
      </c>
      <c r="G1050" s="14">
        <v>858.06</v>
      </c>
      <c r="H1050" s="13">
        <v>275</v>
      </c>
      <c r="I1050" t="s">
        <v>77</v>
      </c>
    </row>
    <row r="1051" spans="1:9" x14ac:dyDescent="0.3">
      <c r="A1051">
        <v>3363</v>
      </c>
      <c r="B1051" t="s">
        <v>396</v>
      </c>
      <c r="C1051" t="s">
        <v>133</v>
      </c>
      <c r="D1051" t="s">
        <v>64</v>
      </c>
      <c r="E1051" t="s">
        <v>977</v>
      </c>
      <c r="F1051" s="13">
        <v>1</v>
      </c>
      <c r="G1051" s="14">
        <v>5380.56</v>
      </c>
      <c r="H1051" s="13">
        <v>275</v>
      </c>
      <c r="I1051" t="s">
        <v>77</v>
      </c>
    </row>
    <row r="1052" spans="1:9" x14ac:dyDescent="0.3">
      <c r="A1052">
        <v>4262</v>
      </c>
      <c r="B1052" t="s">
        <v>201</v>
      </c>
      <c r="C1052" t="s">
        <v>133</v>
      </c>
      <c r="D1052" t="s">
        <v>64</v>
      </c>
      <c r="E1052" t="s">
        <v>977</v>
      </c>
      <c r="F1052" s="13">
        <v>2</v>
      </c>
      <c r="G1052" s="14">
        <v>9747.2099999999991</v>
      </c>
      <c r="H1052" s="13">
        <v>275</v>
      </c>
      <c r="I1052" t="s">
        <v>77</v>
      </c>
    </row>
    <row r="1053" spans="1:9" x14ac:dyDescent="0.3">
      <c r="A1053">
        <v>6516</v>
      </c>
      <c r="B1053" t="s">
        <v>423</v>
      </c>
      <c r="C1053" t="s">
        <v>92</v>
      </c>
      <c r="D1053" t="s">
        <v>64</v>
      </c>
      <c r="E1053" t="s">
        <v>977</v>
      </c>
      <c r="F1053" s="13">
        <v>1</v>
      </c>
      <c r="G1053" s="14">
        <v>3529.55</v>
      </c>
      <c r="H1053" s="13">
        <v>275</v>
      </c>
      <c r="I1053" t="s">
        <v>77</v>
      </c>
    </row>
    <row r="1054" spans="1:9" x14ac:dyDescent="0.3">
      <c r="A1054">
        <v>6969</v>
      </c>
      <c r="B1054" t="s">
        <v>668</v>
      </c>
      <c r="C1054" t="s">
        <v>103</v>
      </c>
      <c r="D1054" t="s">
        <v>67</v>
      </c>
      <c r="E1054" t="s">
        <v>977</v>
      </c>
      <c r="F1054" s="13">
        <v>2</v>
      </c>
      <c r="G1054" s="14">
        <v>4302.07</v>
      </c>
      <c r="H1054" s="13">
        <v>275</v>
      </c>
      <c r="I1054" t="s">
        <v>77</v>
      </c>
    </row>
    <row r="1055" spans="1:9" x14ac:dyDescent="0.3">
      <c r="A1055">
        <v>8512</v>
      </c>
      <c r="B1055" t="s">
        <v>981</v>
      </c>
      <c r="C1055" t="s">
        <v>92</v>
      </c>
      <c r="D1055" t="s">
        <v>64</v>
      </c>
      <c r="E1055" t="s">
        <v>977</v>
      </c>
      <c r="F1055" s="13">
        <v>1</v>
      </c>
      <c r="G1055" s="14">
        <v>2904.39</v>
      </c>
      <c r="H1055" s="13">
        <v>275</v>
      </c>
      <c r="I1055" t="s">
        <v>77</v>
      </c>
    </row>
    <row r="1056" spans="1:9" x14ac:dyDescent="0.3">
      <c r="A1056">
        <v>8957</v>
      </c>
      <c r="B1056" t="s">
        <v>982</v>
      </c>
      <c r="C1056" t="s">
        <v>133</v>
      </c>
      <c r="D1056" t="s">
        <v>64</v>
      </c>
      <c r="E1056" t="s">
        <v>977</v>
      </c>
      <c r="F1056" s="13">
        <v>1</v>
      </c>
      <c r="G1056" s="14">
        <v>7597.19</v>
      </c>
      <c r="H1056" s="13">
        <v>275</v>
      </c>
      <c r="I1056" t="s">
        <v>77</v>
      </c>
    </row>
    <row r="1057" spans="1:9" x14ac:dyDescent="0.3">
      <c r="A1057">
        <v>570</v>
      </c>
      <c r="B1057" t="s">
        <v>983</v>
      </c>
      <c r="C1057" t="s">
        <v>137</v>
      </c>
      <c r="D1057" t="s">
        <v>64</v>
      </c>
      <c r="E1057" t="s">
        <v>984</v>
      </c>
      <c r="F1057" s="13">
        <v>1</v>
      </c>
      <c r="G1057" s="14">
        <v>202.62</v>
      </c>
      <c r="H1057" s="13">
        <v>274</v>
      </c>
      <c r="I1057" t="s">
        <v>77</v>
      </c>
    </row>
    <row r="1058" spans="1:9" x14ac:dyDescent="0.3">
      <c r="A1058">
        <v>724</v>
      </c>
      <c r="B1058" t="s">
        <v>985</v>
      </c>
      <c r="C1058" t="s">
        <v>92</v>
      </c>
      <c r="D1058" t="s">
        <v>64</v>
      </c>
      <c r="E1058" t="s">
        <v>984</v>
      </c>
      <c r="F1058" s="13">
        <v>2</v>
      </c>
      <c r="G1058" s="14">
        <v>2953.68</v>
      </c>
      <c r="H1058" s="13">
        <v>274</v>
      </c>
      <c r="I1058" t="s">
        <v>77</v>
      </c>
    </row>
    <row r="1059" spans="1:9" x14ac:dyDescent="0.3">
      <c r="A1059">
        <v>775</v>
      </c>
      <c r="B1059" t="s">
        <v>986</v>
      </c>
      <c r="C1059" t="s">
        <v>97</v>
      </c>
      <c r="D1059" t="s">
        <v>65</v>
      </c>
      <c r="E1059" t="s">
        <v>984</v>
      </c>
      <c r="F1059" s="13">
        <v>1</v>
      </c>
      <c r="G1059" s="14">
        <v>845.95</v>
      </c>
      <c r="H1059" s="13">
        <v>274</v>
      </c>
      <c r="I1059" t="s">
        <v>77</v>
      </c>
    </row>
    <row r="1060" spans="1:9" x14ac:dyDescent="0.3">
      <c r="A1060">
        <v>1414</v>
      </c>
      <c r="B1060" t="s">
        <v>311</v>
      </c>
      <c r="C1060" t="s">
        <v>97</v>
      </c>
      <c r="D1060" t="s">
        <v>65</v>
      </c>
      <c r="E1060" t="s">
        <v>984</v>
      </c>
      <c r="F1060" s="13">
        <v>2</v>
      </c>
      <c r="G1060" s="14">
        <v>3047.04</v>
      </c>
      <c r="H1060" s="13">
        <v>274</v>
      </c>
      <c r="I1060" t="s">
        <v>77</v>
      </c>
    </row>
    <row r="1061" spans="1:9" x14ac:dyDescent="0.3">
      <c r="A1061">
        <v>4498</v>
      </c>
      <c r="B1061" t="s">
        <v>318</v>
      </c>
      <c r="C1061" t="s">
        <v>137</v>
      </c>
      <c r="D1061" t="s">
        <v>64</v>
      </c>
      <c r="E1061" t="s">
        <v>984</v>
      </c>
      <c r="F1061" s="13">
        <v>3</v>
      </c>
      <c r="G1061" s="14">
        <v>3833.06</v>
      </c>
      <c r="H1061" s="13">
        <v>274</v>
      </c>
      <c r="I1061" t="s">
        <v>77</v>
      </c>
    </row>
    <row r="1062" spans="1:9" x14ac:dyDescent="0.3">
      <c r="A1062">
        <v>5531</v>
      </c>
      <c r="B1062" t="s">
        <v>311</v>
      </c>
      <c r="C1062" t="s">
        <v>137</v>
      </c>
      <c r="D1062" t="s">
        <v>64</v>
      </c>
      <c r="E1062" t="s">
        <v>984</v>
      </c>
      <c r="F1062" s="13">
        <v>3</v>
      </c>
      <c r="G1062" s="14">
        <v>5349.98</v>
      </c>
      <c r="H1062" s="13">
        <v>274</v>
      </c>
      <c r="I1062" t="s">
        <v>77</v>
      </c>
    </row>
    <row r="1063" spans="1:9" x14ac:dyDescent="0.3">
      <c r="A1063">
        <v>6420</v>
      </c>
      <c r="B1063" t="s">
        <v>257</v>
      </c>
      <c r="C1063" t="s">
        <v>123</v>
      </c>
      <c r="D1063" t="s">
        <v>65</v>
      </c>
      <c r="E1063" t="s">
        <v>984</v>
      </c>
      <c r="F1063" s="13">
        <v>1</v>
      </c>
      <c r="G1063" s="14">
        <v>667.46</v>
      </c>
      <c r="H1063" s="13">
        <v>274</v>
      </c>
      <c r="I1063" t="s">
        <v>77</v>
      </c>
    </row>
    <row r="1064" spans="1:9" x14ac:dyDescent="0.3">
      <c r="A1064">
        <v>6503</v>
      </c>
      <c r="B1064" t="s">
        <v>987</v>
      </c>
      <c r="C1064" t="s">
        <v>87</v>
      </c>
      <c r="D1064" t="s">
        <v>64</v>
      </c>
      <c r="E1064" t="s">
        <v>984</v>
      </c>
      <c r="F1064" s="13">
        <v>2</v>
      </c>
      <c r="G1064" s="14">
        <v>874.03</v>
      </c>
      <c r="H1064" s="13">
        <v>274</v>
      </c>
      <c r="I1064" t="s">
        <v>77</v>
      </c>
    </row>
    <row r="1065" spans="1:9" x14ac:dyDescent="0.3">
      <c r="A1065">
        <v>8485</v>
      </c>
      <c r="B1065" t="s">
        <v>988</v>
      </c>
      <c r="C1065" t="s">
        <v>103</v>
      </c>
      <c r="D1065" t="s">
        <v>67</v>
      </c>
      <c r="E1065" t="s">
        <v>984</v>
      </c>
      <c r="F1065" s="13">
        <v>2</v>
      </c>
      <c r="G1065" s="14">
        <v>6333.32</v>
      </c>
      <c r="H1065" s="13">
        <v>274</v>
      </c>
      <c r="I1065" t="s">
        <v>77</v>
      </c>
    </row>
    <row r="1066" spans="1:9" x14ac:dyDescent="0.3">
      <c r="A1066">
        <v>3</v>
      </c>
      <c r="B1066" t="s">
        <v>735</v>
      </c>
      <c r="C1066" t="s">
        <v>92</v>
      </c>
      <c r="D1066" t="s">
        <v>64</v>
      </c>
      <c r="E1066" t="s">
        <v>989</v>
      </c>
      <c r="F1066" s="13">
        <v>1</v>
      </c>
      <c r="G1066" s="14">
        <v>960.79</v>
      </c>
      <c r="H1066" s="13">
        <v>273</v>
      </c>
      <c r="I1066" t="s">
        <v>77</v>
      </c>
    </row>
    <row r="1067" spans="1:9" x14ac:dyDescent="0.3">
      <c r="A1067">
        <v>807</v>
      </c>
      <c r="B1067" t="s">
        <v>534</v>
      </c>
      <c r="C1067" t="s">
        <v>133</v>
      </c>
      <c r="D1067" t="s">
        <v>64</v>
      </c>
      <c r="E1067" t="s">
        <v>989</v>
      </c>
      <c r="F1067" s="13">
        <v>2</v>
      </c>
      <c r="G1067" s="14">
        <v>1149.3399999999999</v>
      </c>
      <c r="H1067" s="13">
        <v>273</v>
      </c>
      <c r="I1067" t="s">
        <v>77</v>
      </c>
    </row>
    <row r="1068" spans="1:9" x14ac:dyDescent="0.3">
      <c r="A1068">
        <v>1768</v>
      </c>
      <c r="B1068" t="s">
        <v>182</v>
      </c>
      <c r="C1068" t="s">
        <v>137</v>
      </c>
      <c r="D1068" t="s">
        <v>64</v>
      </c>
      <c r="E1068" t="s">
        <v>989</v>
      </c>
      <c r="F1068" s="13">
        <v>1</v>
      </c>
      <c r="G1068" s="14">
        <v>625.99</v>
      </c>
      <c r="H1068" s="13">
        <v>273</v>
      </c>
      <c r="I1068" t="s">
        <v>77</v>
      </c>
    </row>
    <row r="1069" spans="1:9" x14ac:dyDescent="0.3">
      <c r="A1069">
        <v>4322</v>
      </c>
      <c r="B1069" t="s">
        <v>318</v>
      </c>
      <c r="C1069" t="s">
        <v>137</v>
      </c>
      <c r="D1069" t="s">
        <v>64</v>
      </c>
      <c r="E1069" t="s">
        <v>989</v>
      </c>
      <c r="F1069" s="13">
        <v>1</v>
      </c>
      <c r="G1069" s="14">
        <v>304.10000000000002</v>
      </c>
      <c r="H1069" s="13">
        <v>273</v>
      </c>
      <c r="I1069" t="s">
        <v>77</v>
      </c>
    </row>
    <row r="1070" spans="1:9" x14ac:dyDescent="0.3">
      <c r="A1070">
        <v>4575</v>
      </c>
      <c r="B1070" t="s">
        <v>990</v>
      </c>
      <c r="C1070" t="s">
        <v>133</v>
      </c>
      <c r="D1070" t="s">
        <v>64</v>
      </c>
      <c r="E1070" t="s">
        <v>989</v>
      </c>
      <c r="F1070" s="13">
        <v>1</v>
      </c>
      <c r="G1070" s="14">
        <v>239.77</v>
      </c>
      <c r="H1070" s="13">
        <v>273</v>
      </c>
      <c r="I1070" t="s">
        <v>77</v>
      </c>
    </row>
    <row r="1071" spans="1:9" x14ac:dyDescent="0.3">
      <c r="A1071">
        <v>6018</v>
      </c>
      <c r="B1071" t="s">
        <v>991</v>
      </c>
      <c r="C1071" t="s">
        <v>133</v>
      </c>
      <c r="D1071" t="s">
        <v>64</v>
      </c>
      <c r="E1071" t="s">
        <v>989</v>
      </c>
      <c r="F1071" s="13">
        <v>2</v>
      </c>
      <c r="G1071" s="14">
        <v>3275.08</v>
      </c>
      <c r="H1071" s="13">
        <v>273</v>
      </c>
      <c r="I1071" t="s">
        <v>77</v>
      </c>
    </row>
    <row r="1072" spans="1:9" x14ac:dyDescent="0.3">
      <c r="A1072">
        <v>6132</v>
      </c>
      <c r="B1072" t="s">
        <v>992</v>
      </c>
      <c r="C1072" t="s">
        <v>121</v>
      </c>
      <c r="D1072" t="s">
        <v>67</v>
      </c>
      <c r="E1072" t="s">
        <v>989</v>
      </c>
      <c r="F1072" s="13">
        <v>1</v>
      </c>
      <c r="G1072" s="14">
        <v>398.19</v>
      </c>
      <c r="H1072" s="13">
        <v>273</v>
      </c>
      <c r="I1072" t="s">
        <v>77</v>
      </c>
    </row>
    <row r="1073" spans="1:9" x14ac:dyDescent="0.3">
      <c r="A1073">
        <v>7334</v>
      </c>
      <c r="B1073" t="s">
        <v>645</v>
      </c>
      <c r="C1073" t="s">
        <v>92</v>
      </c>
      <c r="D1073" t="s">
        <v>64</v>
      </c>
      <c r="E1073" t="s">
        <v>989</v>
      </c>
      <c r="F1073" s="13">
        <v>2</v>
      </c>
      <c r="G1073" s="14">
        <v>2069.33</v>
      </c>
      <c r="H1073" s="13">
        <v>273</v>
      </c>
      <c r="I1073" t="s">
        <v>77</v>
      </c>
    </row>
    <row r="1074" spans="1:9" x14ac:dyDescent="0.3">
      <c r="A1074">
        <v>7995</v>
      </c>
      <c r="B1074" t="s">
        <v>993</v>
      </c>
      <c r="C1074" t="s">
        <v>100</v>
      </c>
      <c r="D1074" t="s">
        <v>66</v>
      </c>
      <c r="E1074" t="s">
        <v>989</v>
      </c>
      <c r="F1074" s="13">
        <v>1</v>
      </c>
      <c r="G1074" s="14">
        <v>219.63</v>
      </c>
      <c r="H1074" s="13">
        <v>273</v>
      </c>
      <c r="I1074" t="s">
        <v>77</v>
      </c>
    </row>
    <row r="1075" spans="1:9" x14ac:dyDescent="0.3">
      <c r="A1075">
        <v>8331</v>
      </c>
      <c r="B1075" t="s">
        <v>371</v>
      </c>
      <c r="C1075" t="s">
        <v>137</v>
      </c>
      <c r="D1075" t="s">
        <v>64</v>
      </c>
      <c r="E1075" t="s">
        <v>989</v>
      </c>
      <c r="F1075" s="13">
        <v>3</v>
      </c>
      <c r="G1075" s="14">
        <v>8212.61</v>
      </c>
      <c r="H1075" s="13">
        <v>273</v>
      </c>
      <c r="I1075" t="s">
        <v>77</v>
      </c>
    </row>
    <row r="1076" spans="1:9" x14ac:dyDescent="0.3">
      <c r="A1076">
        <v>1124</v>
      </c>
      <c r="B1076" t="s">
        <v>311</v>
      </c>
      <c r="C1076" t="s">
        <v>137</v>
      </c>
      <c r="D1076" t="s">
        <v>64</v>
      </c>
      <c r="E1076" t="s">
        <v>994</v>
      </c>
      <c r="F1076" s="13">
        <v>3</v>
      </c>
      <c r="G1076" s="14">
        <v>6019.34</v>
      </c>
      <c r="H1076" s="13">
        <v>272</v>
      </c>
      <c r="I1076" t="s">
        <v>77</v>
      </c>
    </row>
    <row r="1077" spans="1:9" x14ac:dyDescent="0.3">
      <c r="A1077">
        <v>1203</v>
      </c>
      <c r="B1077" t="s">
        <v>543</v>
      </c>
      <c r="C1077" t="s">
        <v>103</v>
      </c>
      <c r="D1077" t="s">
        <v>67</v>
      </c>
      <c r="E1077" t="s">
        <v>994</v>
      </c>
      <c r="F1077" s="13">
        <v>1</v>
      </c>
      <c r="G1077" s="14">
        <v>2108.92</v>
      </c>
      <c r="H1077" s="13">
        <v>272</v>
      </c>
      <c r="I1077" t="s">
        <v>77</v>
      </c>
    </row>
    <row r="1078" spans="1:9" x14ac:dyDescent="0.3">
      <c r="A1078">
        <v>2606</v>
      </c>
      <c r="B1078" t="s">
        <v>995</v>
      </c>
      <c r="C1078" t="s">
        <v>95</v>
      </c>
      <c r="D1078" t="s">
        <v>65</v>
      </c>
      <c r="E1078" t="s">
        <v>994</v>
      </c>
      <c r="F1078" s="13">
        <v>1</v>
      </c>
      <c r="G1078" s="14">
        <v>199.81</v>
      </c>
      <c r="H1078" s="13">
        <v>272</v>
      </c>
      <c r="I1078" t="s">
        <v>77</v>
      </c>
    </row>
    <row r="1079" spans="1:9" x14ac:dyDescent="0.3">
      <c r="A1079">
        <v>2847</v>
      </c>
      <c r="B1079" t="s">
        <v>996</v>
      </c>
      <c r="C1079" t="s">
        <v>97</v>
      </c>
      <c r="D1079" t="s">
        <v>65</v>
      </c>
      <c r="E1079" t="s">
        <v>994</v>
      </c>
      <c r="F1079" s="13">
        <v>1</v>
      </c>
      <c r="G1079" s="14">
        <v>324.33</v>
      </c>
      <c r="H1079" s="13">
        <v>272</v>
      </c>
      <c r="I1079" t="s">
        <v>77</v>
      </c>
    </row>
    <row r="1080" spans="1:9" x14ac:dyDescent="0.3">
      <c r="A1080">
        <v>2980</v>
      </c>
      <c r="B1080" t="s">
        <v>997</v>
      </c>
      <c r="C1080" t="s">
        <v>114</v>
      </c>
      <c r="D1080" t="s">
        <v>66</v>
      </c>
      <c r="E1080" t="s">
        <v>994</v>
      </c>
      <c r="F1080" s="13">
        <v>2</v>
      </c>
      <c r="G1080" s="14">
        <v>1462.19</v>
      </c>
      <c r="H1080" s="13">
        <v>272</v>
      </c>
      <c r="I1080" t="s">
        <v>77</v>
      </c>
    </row>
    <row r="1081" spans="1:9" x14ac:dyDescent="0.3">
      <c r="A1081">
        <v>4190</v>
      </c>
      <c r="B1081" t="s">
        <v>464</v>
      </c>
      <c r="C1081" t="s">
        <v>133</v>
      </c>
      <c r="D1081" t="s">
        <v>64</v>
      </c>
      <c r="E1081" t="s">
        <v>994</v>
      </c>
      <c r="F1081" s="13">
        <v>2</v>
      </c>
      <c r="G1081" s="14">
        <v>1878.99</v>
      </c>
      <c r="H1081" s="13">
        <v>272</v>
      </c>
      <c r="I1081" t="s">
        <v>77</v>
      </c>
    </row>
    <row r="1082" spans="1:9" x14ac:dyDescent="0.3">
      <c r="A1082">
        <v>5003</v>
      </c>
      <c r="B1082" t="s">
        <v>998</v>
      </c>
      <c r="C1082" t="s">
        <v>133</v>
      </c>
      <c r="D1082" t="s">
        <v>64</v>
      </c>
      <c r="E1082" t="s">
        <v>994</v>
      </c>
      <c r="F1082" s="13">
        <v>1</v>
      </c>
      <c r="G1082" s="14">
        <v>4339.37</v>
      </c>
      <c r="H1082" s="13">
        <v>272</v>
      </c>
      <c r="I1082" t="s">
        <v>77</v>
      </c>
    </row>
    <row r="1083" spans="1:9" x14ac:dyDescent="0.3">
      <c r="A1083">
        <v>5621</v>
      </c>
      <c r="B1083" t="s">
        <v>414</v>
      </c>
      <c r="C1083" t="s">
        <v>473</v>
      </c>
      <c r="D1083" t="s">
        <v>68</v>
      </c>
      <c r="E1083" t="s">
        <v>994</v>
      </c>
      <c r="F1083" s="13">
        <v>3</v>
      </c>
      <c r="G1083" s="14">
        <v>10699.97</v>
      </c>
      <c r="H1083" s="13">
        <v>272</v>
      </c>
      <c r="I1083" t="s">
        <v>77</v>
      </c>
    </row>
    <row r="1084" spans="1:9" x14ac:dyDescent="0.3">
      <c r="A1084">
        <v>6070</v>
      </c>
      <c r="B1084" t="s">
        <v>202</v>
      </c>
      <c r="C1084" t="s">
        <v>133</v>
      </c>
      <c r="D1084" t="s">
        <v>64</v>
      </c>
      <c r="E1084" t="s">
        <v>994</v>
      </c>
      <c r="F1084" s="13">
        <v>1</v>
      </c>
      <c r="G1084" s="14">
        <v>238.57</v>
      </c>
      <c r="H1084" s="13">
        <v>272</v>
      </c>
      <c r="I1084" t="s">
        <v>77</v>
      </c>
    </row>
    <row r="1085" spans="1:9" x14ac:dyDescent="0.3">
      <c r="A1085">
        <v>6619</v>
      </c>
      <c r="B1085" t="s">
        <v>295</v>
      </c>
      <c r="C1085" t="s">
        <v>97</v>
      </c>
      <c r="D1085" t="s">
        <v>65</v>
      </c>
      <c r="E1085" t="s">
        <v>994</v>
      </c>
      <c r="F1085" s="13">
        <v>1</v>
      </c>
      <c r="G1085" s="14">
        <v>621.78</v>
      </c>
      <c r="H1085" s="13">
        <v>272</v>
      </c>
      <c r="I1085" t="s">
        <v>77</v>
      </c>
    </row>
    <row r="1086" spans="1:9" x14ac:dyDescent="0.3">
      <c r="A1086">
        <v>7466</v>
      </c>
      <c r="B1086" t="s">
        <v>323</v>
      </c>
      <c r="C1086" t="s">
        <v>133</v>
      </c>
      <c r="D1086" t="s">
        <v>64</v>
      </c>
      <c r="E1086" t="s">
        <v>994</v>
      </c>
      <c r="F1086" s="13">
        <v>2</v>
      </c>
      <c r="G1086" s="14">
        <v>2468.15</v>
      </c>
      <c r="H1086" s="13">
        <v>272</v>
      </c>
      <c r="I1086" t="s">
        <v>77</v>
      </c>
    </row>
    <row r="1087" spans="1:9" x14ac:dyDescent="0.3">
      <c r="A1087">
        <v>827</v>
      </c>
      <c r="B1087" t="s">
        <v>286</v>
      </c>
      <c r="C1087" t="s">
        <v>123</v>
      </c>
      <c r="D1087" t="s">
        <v>65</v>
      </c>
      <c r="E1087" t="s">
        <v>999</v>
      </c>
      <c r="F1087" s="13">
        <v>1</v>
      </c>
      <c r="G1087" s="14">
        <v>1745.11</v>
      </c>
      <c r="H1087" s="13">
        <v>271</v>
      </c>
      <c r="I1087" t="s">
        <v>77</v>
      </c>
    </row>
    <row r="1088" spans="1:9" x14ac:dyDescent="0.3">
      <c r="A1088">
        <v>4274</v>
      </c>
      <c r="B1088" t="s">
        <v>229</v>
      </c>
      <c r="C1088" t="s">
        <v>97</v>
      </c>
      <c r="D1088" t="s">
        <v>65</v>
      </c>
      <c r="E1088" t="s">
        <v>999</v>
      </c>
      <c r="F1088" s="13">
        <v>2</v>
      </c>
      <c r="G1088" s="14">
        <v>1233.42</v>
      </c>
      <c r="H1088" s="13">
        <v>271</v>
      </c>
      <c r="I1088" t="s">
        <v>77</v>
      </c>
    </row>
    <row r="1089" spans="1:9" x14ac:dyDescent="0.3">
      <c r="A1089">
        <v>5501</v>
      </c>
      <c r="B1089" t="s">
        <v>142</v>
      </c>
      <c r="C1089" t="s">
        <v>95</v>
      </c>
      <c r="D1089" t="s">
        <v>65</v>
      </c>
      <c r="E1089" t="s">
        <v>999</v>
      </c>
      <c r="F1089" s="13">
        <v>3</v>
      </c>
      <c r="G1089" s="14">
        <v>4466.33</v>
      </c>
      <c r="H1089" s="13">
        <v>271</v>
      </c>
      <c r="I1089" t="s">
        <v>77</v>
      </c>
    </row>
    <row r="1090" spans="1:9" x14ac:dyDescent="0.3">
      <c r="A1090">
        <v>6698</v>
      </c>
      <c r="B1090" t="s">
        <v>1000</v>
      </c>
      <c r="C1090" t="s">
        <v>103</v>
      </c>
      <c r="D1090" t="s">
        <v>67</v>
      </c>
      <c r="E1090" t="s">
        <v>999</v>
      </c>
      <c r="F1090" s="13">
        <v>1</v>
      </c>
      <c r="G1090" s="14">
        <v>3991.1</v>
      </c>
      <c r="H1090" s="13">
        <v>271</v>
      </c>
      <c r="I1090" t="s">
        <v>77</v>
      </c>
    </row>
    <row r="1091" spans="1:9" x14ac:dyDescent="0.3">
      <c r="A1091">
        <v>7457</v>
      </c>
      <c r="B1091" t="s">
        <v>1001</v>
      </c>
      <c r="C1091" t="s">
        <v>137</v>
      </c>
      <c r="D1091" t="s">
        <v>64</v>
      </c>
      <c r="E1091" t="s">
        <v>999</v>
      </c>
      <c r="F1091" s="13">
        <v>1</v>
      </c>
      <c r="G1091" s="14">
        <v>754.74</v>
      </c>
      <c r="H1091" s="13">
        <v>271</v>
      </c>
      <c r="I1091" t="s">
        <v>77</v>
      </c>
    </row>
    <row r="1092" spans="1:9" x14ac:dyDescent="0.3">
      <c r="A1092">
        <v>8743</v>
      </c>
      <c r="B1092" t="s">
        <v>1002</v>
      </c>
      <c r="C1092" t="s">
        <v>92</v>
      </c>
      <c r="D1092" t="s">
        <v>64</v>
      </c>
      <c r="E1092" t="s">
        <v>999</v>
      </c>
      <c r="F1092" s="13">
        <v>1</v>
      </c>
      <c r="G1092" s="14">
        <v>4516.87</v>
      </c>
      <c r="H1092" s="13">
        <v>271</v>
      </c>
      <c r="I1092" t="s">
        <v>77</v>
      </c>
    </row>
    <row r="1093" spans="1:9" x14ac:dyDescent="0.3">
      <c r="A1093">
        <v>1554</v>
      </c>
      <c r="B1093" t="s">
        <v>286</v>
      </c>
      <c r="C1093" t="s">
        <v>87</v>
      </c>
      <c r="D1093" t="s">
        <v>64</v>
      </c>
      <c r="E1093" t="s">
        <v>1003</v>
      </c>
      <c r="F1093" s="13">
        <v>3</v>
      </c>
      <c r="G1093" s="14">
        <v>4356.68</v>
      </c>
      <c r="H1093" s="13">
        <v>270</v>
      </c>
      <c r="I1093" t="s">
        <v>77</v>
      </c>
    </row>
    <row r="1094" spans="1:9" x14ac:dyDescent="0.3">
      <c r="A1094">
        <v>2026</v>
      </c>
      <c r="B1094" t="s">
        <v>86</v>
      </c>
      <c r="C1094" t="s">
        <v>90</v>
      </c>
      <c r="D1094" t="s">
        <v>66</v>
      </c>
      <c r="E1094" t="s">
        <v>1003</v>
      </c>
      <c r="F1094" s="13">
        <v>1</v>
      </c>
      <c r="G1094" s="14">
        <v>854.73</v>
      </c>
      <c r="H1094" s="13">
        <v>270</v>
      </c>
      <c r="I1094" t="s">
        <v>77</v>
      </c>
    </row>
    <row r="1095" spans="1:9" x14ac:dyDescent="0.3">
      <c r="A1095">
        <v>2278</v>
      </c>
      <c r="B1095" t="s">
        <v>691</v>
      </c>
      <c r="C1095" t="s">
        <v>114</v>
      </c>
      <c r="D1095" t="s">
        <v>66</v>
      </c>
      <c r="E1095" t="s">
        <v>1003</v>
      </c>
      <c r="F1095" s="13">
        <v>2</v>
      </c>
      <c r="G1095" s="14">
        <v>1811.86</v>
      </c>
      <c r="H1095" s="13">
        <v>270</v>
      </c>
      <c r="I1095" t="s">
        <v>77</v>
      </c>
    </row>
    <row r="1096" spans="1:9" x14ac:dyDescent="0.3">
      <c r="A1096">
        <v>2605</v>
      </c>
      <c r="B1096" t="s">
        <v>420</v>
      </c>
      <c r="C1096" t="s">
        <v>90</v>
      </c>
      <c r="D1096" t="s">
        <v>66</v>
      </c>
      <c r="E1096" t="s">
        <v>1003</v>
      </c>
      <c r="F1096" s="13">
        <v>2</v>
      </c>
      <c r="G1096" s="14">
        <v>4438.6899999999996</v>
      </c>
      <c r="H1096" s="13">
        <v>270</v>
      </c>
      <c r="I1096" t="s">
        <v>77</v>
      </c>
    </row>
    <row r="1097" spans="1:9" x14ac:dyDescent="0.3">
      <c r="A1097">
        <v>3027</v>
      </c>
      <c r="B1097" t="s">
        <v>1004</v>
      </c>
      <c r="C1097" t="s">
        <v>114</v>
      </c>
      <c r="D1097" t="s">
        <v>66</v>
      </c>
      <c r="E1097" t="s">
        <v>1003</v>
      </c>
      <c r="F1097" s="13">
        <v>3</v>
      </c>
      <c r="G1097" s="14">
        <v>4881.0200000000004</v>
      </c>
      <c r="H1097" s="13">
        <v>270</v>
      </c>
      <c r="I1097" t="s">
        <v>77</v>
      </c>
    </row>
    <row r="1098" spans="1:9" x14ac:dyDescent="0.3">
      <c r="A1098">
        <v>5701</v>
      </c>
      <c r="B1098" t="s">
        <v>1005</v>
      </c>
      <c r="C1098" t="s">
        <v>103</v>
      </c>
      <c r="D1098" t="s">
        <v>67</v>
      </c>
      <c r="E1098" t="s">
        <v>1003</v>
      </c>
      <c r="F1098" s="13">
        <v>1</v>
      </c>
      <c r="G1098" s="14">
        <v>3602.84</v>
      </c>
      <c r="H1098" s="13">
        <v>270</v>
      </c>
      <c r="I1098" t="s">
        <v>77</v>
      </c>
    </row>
    <row r="1099" spans="1:9" x14ac:dyDescent="0.3">
      <c r="A1099">
        <v>6457</v>
      </c>
      <c r="B1099" t="s">
        <v>1006</v>
      </c>
      <c r="C1099" t="s">
        <v>137</v>
      </c>
      <c r="D1099" t="s">
        <v>64</v>
      </c>
      <c r="E1099" t="s">
        <v>1003</v>
      </c>
      <c r="F1099" s="13">
        <v>1</v>
      </c>
      <c r="G1099" s="14">
        <v>1112.71</v>
      </c>
      <c r="H1099" s="13">
        <v>270</v>
      </c>
      <c r="I1099" t="s">
        <v>77</v>
      </c>
    </row>
    <row r="1100" spans="1:9" x14ac:dyDescent="0.3">
      <c r="A1100">
        <v>7272</v>
      </c>
      <c r="B1100" t="s">
        <v>1007</v>
      </c>
      <c r="C1100" t="s">
        <v>92</v>
      </c>
      <c r="D1100" t="s">
        <v>64</v>
      </c>
      <c r="E1100" t="s">
        <v>1003</v>
      </c>
      <c r="F1100" s="13">
        <v>2</v>
      </c>
      <c r="G1100" s="14">
        <v>13571.55</v>
      </c>
      <c r="H1100" s="13">
        <v>270</v>
      </c>
      <c r="I1100" t="s">
        <v>77</v>
      </c>
    </row>
    <row r="1101" spans="1:9" x14ac:dyDescent="0.3">
      <c r="A1101">
        <v>7867</v>
      </c>
      <c r="B1101" t="s">
        <v>423</v>
      </c>
      <c r="C1101" t="s">
        <v>133</v>
      </c>
      <c r="D1101" t="s">
        <v>64</v>
      </c>
      <c r="E1101" t="s">
        <v>1003</v>
      </c>
      <c r="F1101" s="13">
        <v>1</v>
      </c>
      <c r="G1101" s="14">
        <v>2989.09</v>
      </c>
      <c r="H1101" s="13">
        <v>270</v>
      </c>
      <c r="I1101" t="s">
        <v>77</v>
      </c>
    </row>
    <row r="1102" spans="1:9" x14ac:dyDescent="0.3">
      <c r="A1102">
        <v>1065</v>
      </c>
      <c r="B1102" t="s">
        <v>199</v>
      </c>
      <c r="C1102" t="s">
        <v>100</v>
      </c>
      <c r="D1102" t="s">
        <v>66</v>
      </c>
      <c r="E1102" t="s">
        <v>1008</v>
      </c>
      <c r="F1102" s="13">
        <v>2</v>
      </c>
      <c r="G1102" s="14">
        <v>2539.48</v>
      </c>
      <c r="H1102" s="13">
        <v>269</v>
      </c>
      <c r="I1102" t="s">
        <v>77</v>
      </c>
    </row>
    <row r="1103" spans="1:9" x14ac:dyDescent="0.3">
      <c r="A1103">
        <v>2350</v>
      </c>
      <c r="B1103" t="s">
        <v>1009</v>
      </c>
      <c r="C1103" t="s">
        <v>103</v>
      </c>
      <c r="D1103" t="s">
        <v>67</v>
      </c>
      <c r="E1103" t="s">
        <v>1008</v>
      </c>
      <c r="F1103" s="13">
        <v>1</v>
      </c>
      <c r="G1103" s="14">
        <v>1147.5999999999999</v>
      </c>
      <c r="H1103" s="13">
        <v>269</v>
      </c>
      <c r="I1103" t="s">
        <v>77</v>
      </c>
    </row>
    <row r="1104" spans="1:9" x14ac:dyDescent="0.3">
      <c r="A1104">
        <v>2867</v>
      </c>
      <c r="B1104" t="s">
        <v>874</v>
      </c>
      <c r="C1104" t="s">
        <v>137</v>
      </c>
      <c r="D1104" t="s">
        <v>64</v>
      </c>
      <c r="E1104" t="s">
        <v>1008</v>
      </c>
      <c r="F1104" s="13">
        <v>1</v>
      </c>
      <c r="G1104" s="14">
        <v>632.09</v>
      </c>
      <c r="H1104" s="13">
        <v>269</v>
      </c>
      <c r="I1104" t="s">
        <v>77</v>
      </c>
    </row>
    <row r="1105" spans="1:9" x14ac:dyDescent="0.3">
      <c r="A1105">
        <v>6300</v>
      </c>
      <c r="B1105" t="s">
        <v>295</v>
      </c>
      <c r="C1105" t="s">
        <v>90</v>
      </c>
      <c r="D1105" t="s">
        <v>66</v>
      </c>
      <c r="E1105" t="s">
        <v>1008</v>
      </c>
      <c r="F1105" s="13">
        <v>1</v>
      </c>
      <c r="G1105" s="14">
        <v>3921.14</v>
      </c>
      <c r="H1105" s="13">
        <v>269</v>
      </c>
      <c r="I1105" t="s">
        <v>77</v>
      </c>
    </row>
    <row r="1106" spans="1:9" x14ac:dyDescent="0.3">
      <c r="A1106">
        <v>7360</v>
      </c>
      <c r="B1106" t="s">
        <v>1010</v>
      </c>
      <c r="C1106" t="s">
        <v>90</v>
      </c>
      <c r="D1106" t="s">
        <v>66</v>
      </c>
      <c r="E1106" t="s">
        <v>1008</v>
      </c>
      <c r="F1106" s="13">
        <v>1</v>
      </c>
      <c r="G1106" s="14">
        <v>690.87</v>
      </c>
      <c r="H1106" s="13">
        <v>269</v>
      </c>
      <c r="I1106" t="s">
        <v>77</v>
      </c>
    </row>
    <row r="1107" spans="1:9" x14ac:dyDescent="0.3">
      <c r="A1107">
        <v>2057</v>
      </c>
      <c r="B1107" t="s">
        <v>543</v>
      </c>
      <c r="C1107" t="s">
        <v>123</v>
      </c>
      <c r="D1107" t="s">
        <v>65</v>
      </c>
      <c r="E1107" t="s">
        <v>1011</v>
      </c>
      <c r="F1107" s="13">
        <v>1</v>
      </c>
      <c r="G1107" s="14">
        <v>6251.19</v>
      </c>
      <c r="H1107" s="13">
        <v>268</v>
      </c>
      <c r="I1107" t="s">
        <v>77</v>
      </c>
    </row>
    <row r="1108" spans="1:9" x14ac:dyDescent="0.3">
      <c r="A1108">
        <v>4063</v>
      </c>
      <c r="B1108" t="s">
        <v>1012</v>
      </c>
      <c r="C1108" t="s">
        <v>133</v>
      </c>
      <c r="D1108" t="s">
        <v>64</v>
      </c>
      <c r="E1108" t="s">
        <v>1011</v>
      </c>
      <c r="F1108" s="13">
        <v>2</v>
      </c>
      <c r="G1108" s="14">
        <v>6965.2</v>
      </c>
      <c r="H1108" s="13">
        <v>268</v>
      </c>
      <c r="I1108" t="s">
        <v>77</v>
      </c>
    </row>
    <row r="1109" spans="1:9" x14ac:dyDescent="0.3">
      <c r="A1109">
        <v>4396</v>
      </c>
      <c r="B1109" t="s">
        <v>848</v>
      </c>
      <c r="C1109" t="s">
        <v>92</v>
      </c>
      <c r="D1109" t="s">
        <v>64</v>
      </c>
      <c r="E1109" t="s">
        <v>1011</v>
      </c>
      <c r="F1109" s="13">
        <v>2</v>
      </c>
      <c r="G1109" s="14">
        <v>5177.24</v>
      </c>
      <c r="H1109" s="13">
        <v>268</v>
      </c>
      <c r="I1109" t="s">
        <v>77</v>
      </c>
    </row>
    <row r="1110" spans="1:9" x14ac:dyDescent="0.3">
      <c r="A1110">
        <v>5218</v>
      </c>
      <c r="B1110" t="s">
        <v>1013</v>
      </c>
      <c r="C1110" t="s">
        <v>137</v>
      </c>
      <c r="D1110" t="s">
        <v>64</v>
      </c>
      <c r="E1110" t="s">
        <v>1011</v>
      </c>
      <c r="F1110" s="13">
        <v>1</v>
      </c>
      <c r="G1110" s="14">
        <v>48.91</v>
      </c>
      <c r="H1110" s="13">
        <v>268</v>
      </c>
      <c r="I1110" t="s">
        <v>77</v>
      </c>
    </row>
    <row r="1111" spans="1:9" x14ac:dyDescent="0.3">
      <c r="A1111">
        <v>8824</v>
      </c>
      <c r="B1111" t="s">
        <v>549</v>
      </c>
      <c r="C1111" t="s">
        <v>90</v>
      </c>
      <c r="D1111" t="s">
        <v>66</v>
      </c>
      <c r="E1111" t="s">
        <v>1011</v>
      </c>
      <c r="F1111" s="13">
        <v>1</v>
      </c>
      <c r="G1111" s="14">
        <v>275.14999999999998</v>
      </c>
      <c r="H1111" s="13">
        <v>268</v>
      </c>
      <c r="I1111" t="s">
        <v>77</v>
      </c>
    </row>
    <row r="1112" spans="1:9" x14ac:dyDescent="0.3">
      <c r="A1112">
        <v>713</v>
      </c>
      <c r="B1112" t="s">
        <v>519</v>
      </c>
      <c r="C1112" t="s">
        <v>90</v>
      </c>
      <c r="D1112" t="s">
        <v>66</v>
      </c>
      <c r="E1112" t="s">
        <v>1014</v>
      </c>
      <c r="F1112" s="13">
        <v>1</v>
      </c>
      <c r="G1112" s="14">
        <v>1778.8</v>
      </c>
      <c r="H1112" s="13">
        <v>267</v>
      </c>
      <c r="I1112" t="s">
        <v>77</v>
      </c>
    </row>
    <row r="1113" spans="1:9" x14ac:dyDescent="0.3">
      <c r="A1113">
        <v>2259</v>
      </c>
      <c r="B1113" t="s">
        <v>1015</v>
      </c>
      <c r="C1113" t="s">
        <v>95</v>
      </c>
      <c r="D1113" t="s">
        <v>65</v>
      </c>
      <c r="E1113" t="s">
        <v>1014</v>
      </c>
      <c r="F1113" s="13">
        <v>2</v>
      </c>
      <c r="G1113" s="14">
        <v>1971.82</v>
      </c>
      <c r="H1113" s="13">
        <v>267</v>
      </c>
      <c r="I1113" t="s">
        <v>77</v>
      </c>
    </row>
    <row r="1114" spans="1:9" x14ac:dyDescent="0.3">
      <c r="A1114">
        <v>6010</v>
      </c>
      <c r="B1114" t="s">
        <v>404</v>
      </c>
      <c r="C1114" t="s">
        <v>92</v>
      </c>
      <c r="D1114" t="s">
        <v>64</v>
      </c>
      <c r="E1114" t="s">
        <v>1014</v>
      </c>
      <c r="F1114" s="13">
        <v>2</v>
      </c>
      <c r="G1114" s="14">
        <v>4472.51</v>
      </c>
      <c r="H1114" s="13">
        <v>267</v>
      </c>
      <c r="I1114" t="s">
        <v>77</v>
      </c>
    </row>
    <row r="1115" spans="1:9" x14ac:dyDescent="0.3">
      <c r="A1115">
        <v>3342</v>
      </c>
      <c r="B1115" t="s">
        <v>1016</v>
      </c>
      <c r="C1115" t="s">
        <v>90</v>
      </c>
      <c r="D1115" t="s">
        <v>66</v>
      </c>
      <c r="E1115" t="s">
        <v>1017</v>
      </c>
      <c r="F1115" s="13">
        <v>1</v>
      </c>
      <c r="G1115" s="14">
        <v>5823.9</v>
      </c>
      <c r="H1115" s="13">
        <v>266</v>
      </c>
      <c r="I1115" t="s">
        <v>77</v>
      </c>
    </row>
    <row r="1116" spans="1:9" x14ac:dyDescent="0.3">
      <c r="A1116">
        <v>6377</v>
      </c>
      <c r="B1116" t="s">
        <v>1018</v>
      </c>
      <c r="C1116" t="s">
        <v>97</v>
      </c>
      <c r="D1116" t="s">
        <v>65</v>
      </c>
      <c r="E1116" t="s">
        <v>1017</v>
      </c>
      <c r="F1116" s="13">
        <v>3</v>
      </c>
      <c r="G1116" s="14">
        <v>3448.48</v>
      </c>
      <c r="H1116" s="13">
        <v>266</v>
      </c>
      <c r="I1116" t="s">
        <v>77</v>
      </c>
    </row>
    <row r="1117" spans="1:9" x14ac:dyDescent="0.3">
      <c r="A1117">
        <v>8065</v>
      </c>
      <c r="B1117" t="s">
        <v>662</v>
      </c>
      <c r="C1117" t="s">
        <v>97</v>
      </c>
      <c r="D1117" t="s">
        <v>65</v>
      </c>
      <c r="E1117" t="s">
        <v>1017</v>
      </c>
      <c r="F1117" s="13">
        <v>3</v>
      </c>
      <c r="G1117" s="14">
        <v>4016.01</v>
      </c>
      <c r="H1117" s="13">
        <v>266</v>
      </c>
      <c r="I1117" t="s">
        <v>77</v>
      </c>
    </row>
    <row r="1118" spans="1:9" x14ac:dyDescent="0.3">
      <c r="A1118">
        <v>332</v>
      </c>
      <c r="B1118" t="s">
        <v>1019</v>
      </c>
      <c r="C1118" t="s">
        <v>137</v>
      </c>
      <c r="D1118" t="s">
        <v>64</v>
      </c>
      <c r="E1118" t="s">
        <v>1020</v>
      </c>
      <c r="F1118" s="13">
        <v>2</v>
      </c>
      <c r="G1118" s="14">
        <v>5081.2299999999996</v>
      </c>
      <c r="H1118" s="13">
        <v>265</v>
      </c>
      <c r="I1118" t="s">
        <v>77</v>
      </c>
    </row>
    <row r="1119" spans="1:9" x14ac:dyDescent="0.3">
      <c r="A1119">
        <v>1303</v>
      </c>
      <c r="B1119" t="s">
        <v>1021</v>
      </c>
      <c r="C1119" t="s">
        <v>92</v>
      </c>
      <c r="D1119" t="s">
        <v>64</v>
      </c>
      <c r="E1119" t="s">
        <v>1020</v>
      </c>
      <c r="F1119" s="13">
        <v>1</v>
      </c>
      <c r="G1119" s="14">
        <v>1210.04</v>
      </c>
      <c r="H1119" s="13">
        <v>265</v>
      </c>
      <c r="I1119" t="s">
        <v>77</v>
      </c>
    </row>
    <row r="1120" spans="1:9" x14ac:dyDescent="0.3">
      <c r="A1120">
        <v>2964</v>
      </c>
      <c r="B1120" t="s">
        <v>382</v>
      </c>
      <c r="C1120" t="s">
        <v>97</v>
      </c>
      <c r="D1120" t="s">
        <v>65</v>
      </c>
      <c r="E1120" t="s">
        <v>1020</v>
      </c>
      <c r="F1120" s="13">
        <v>2</v>
      </c>
      <c r="G1120" s="14">
        <v>3287.53</v>
      </c>
      <c r="H1120" s="13">
        <v>265</v>
      </c>
      <c r="I1120" t="s">
        <v>77</v>
      </c>
    </row>
    <row r="1121" spans="1:9" x14ac:dyDescent="0.3">
      <c r="A1121">
        <v>3789</v>
      </c>
      <c r="B1121" t="s">
        <v>1022</v>
      </c>
      <c r="C1121" t="s">
        <v>92</v>
      </c>
      <c r="D1121" t="s">
        <v>64</v>
      </c>
      <c r="E1121" t="s">
        <v>1020</v>
      </c>
      <c r="F1121" s="13">
        <v>1</v>
      </c>
      <c r="G1121" s="14">
        <v>4040.65</v>
      </c>
      <c r="H1121" s="13">
        <v>265</v>
      </c>
      <c r="I1121" t="s">
        <v>77</v>
      </c>
    </row>
    <row r="1122" spans="1:9" x14ac:dyDescent="0.3">
      <c r="A1122">
        <v>3993</v>
      </c>
      <c r="B1122" t="s">
        <v>668</v>
      </c>
      <c r="C1122" t="s">
        <v>92</v>
      </c>
      <c r="D1122" t="s">
        <v>64</v>
      </c>
      <c r="E1122" t="s">
        <v>1020</v>
      </c>
      <c r="F1122" s="13">
        <v>2</v>
      </c>
      <c r="G1122" s="14">
        <v>12920.46</v>
      </c>
      <c r="H1122" s="13">
        <v>265</v>
      </c>
      <c r="I1122" t="s">
        <v>77</v>
      </c>
    </row>
    <row r="1123" spans="1:9" x14ac:dyDescent="0.3">
      <c r="A1123">
        <v>4153</v>
      </c>
      <c r="B1123" t="s">
        <v>178</v>
      </c>
      <c r="C1123" t="s">
        <v>123</v>
      </c>
      <c r="D1123" t="s">
        <v>65</v>
      </c>
      <c r="E1123" t="s">
        <v>1020</v>
      </c>
      <c r="F1123" s="13">
        <v>1</v>
      </c>
      <c r="G1123" s="14">
        <v>1999</v>
      </c>
      <c r="H1123" s="13">
        <v>265</v>
      </c>
      <c r="I1123" t="s">
        <v>77</v>
      </c>
    </row>
    <row r="1124" spans="1:9" x14ac:dyDescent="0.3">
      <c r="A1124">
        <v>4219</v>
      </c>
      <c r="B1124" t="s">
        <v>371</v>
      </c>
      <c r="C1124" t="s">
        <v>97</v>
      </c>
      <c r="D1124" t="s">
        <v>65</v>
      </c>
      <c r="E1124" t="s">
        <v>1020</v>
      </c>
      <c r="F1124" s="13">
        <v>1</v>
      </c>
      <c r="G1124" s="14">
        <v>145.44</v>
      </c>
      <c r="H1124" s="13">
        <v>265</v>
      </c>
      <c r="I1124" t="s">
        <v>77</v>
      </c>
    </row>
    <row r="1125" spans="1:9" x14ac:dyDescent="0.3">
      <c r="A1125">
        <v>6128</v>
      </c>
      <c r="B1125" t="s">
        <v>283</v>
      </c>
      <c r="C1125" t="s">
        <v>90</v>
      </c>
      <c r="D1125" t="s">
        <v>66</v>
      </c>
      <c r="E1125" t="s">
        <v>1020</v>
      </c>
      <c r="F1125" s="13">
        <v>2</v>
      </c>
      <c r="G1125" s="14">
        <v>1086.04</v>
      </c>
      <c r="H1125" s="13">
        <v>265</v>
      </c>
      <c r="I1125" t="s">
        <v>77</v>
      </c>
    </row>
    <row r="1126" spans="1:9" x14ac:dyDescent="0.3">
      <c r="A1126">
        <v>6255</v>
      </c>
      <c r="B1126" t="s">
        <v>407</v>
      </c>
      <c r="C1126" t="s">
        <v>114</v>
      </c>
      <c r="D1126" t="s">
        <v>66</v>
      </c>
      <c r="E1126" t="s">
        <v>1020</v>
      </c>
      <c r="F1126" s="13">
        <v>3</v>
      </c>
      <c r="G1126" s="14">
        <v>4253.22</v>
      </c>
      <c r="H1126" s="13">
        <v>265</v>
      </c>
      <c r="I1126" t="s">
        <v>77</v>
      </c>
    </row>
    <row r="1127" spans="1:9" x14ac:dyDescent="0.3">
      <c r="A1127">
        <v>8633</v>
      </c>
      <c r="B1127" t="s">
        <v>1023</v>
      </c>
      <c r="C1127" t="s">
        <v>114</v>
      </c>
      <c r="D1127" t="s">
        <v>66</v>
      </c>
      <c r="E1127" t="s">
        <v>1020</v>
      </c>
      <c r="F1127" s="13">
        <v>1</v>
      </c>
      <c r="G1127" s="14">
        <v>3023.85</v>
      </c>
      <c r="H1127" s="13">
        <v>265</v>
      </c>
      <c r="I1127" t="s">
        <v>77</v>
      </c>
    </row>
    <row r="1128" spans="1:9" x14ac:dyDescent="0.3">
      <c r="A1128">
        <v>8922</v>
      </c>
      <c r="B1128" t="s">
        <v>1024</v>
      </c>
      <c r="C1128" t="s">
        <v>92</v>
      </c>
      <c r="D1128" t="s">
        <v>64</v>
      </c>
      <c r="E1128" t="s">
        <v>1020</v>
      </c>
      <c r="F1128" s="13">
        <v>4</v>
      </c>
      <c r="G1128" s="14">
        <v>9116.1200000000008</v>
      </c>
      <c r="H1128" s="13">
        <v>265</v>
      </c>
      <c r="I1128" t="s">
        <v>77</v>
      </c>
    </row>
    <row r="1129" spans="1:9" x14ac:dyDescent="0.3">
      <c r="A1129">
        <v>1375</v>
      </c>
      <c r="B1129" t="s">
        <v>1025</v>
      </c>
      <c r="C1129" t="s">
        <v>92</v>
      </c>
      <c r="D1129" t="s">
        <v>64</v>
      </c>
      <c r="E1129" t="s">
        <v>1026</v>
      </c>
      <c r="F1129" s="13">
        <v>2</v>
      </c>
      <c r="G1129" s="14">
        <v>6530.76</v>
      </c>
      <c r="H1129" s="13">
        <v>264</v>
      </c>
      <c r="I1129" t="s">
        <v>77</v>
      </c>
    </row>
    <row r="1130" spans="1:9" x14ac:dyDescent="0.3">
      <c r="A1130">
        <v>2073</v>
      </c>
      <c r="B1130" t="s">
        <v>201</v>
      </c>
      <c r="C1130" t="s">
        <v>121</v>
      </c>
      <c r="D1130" t="s">
        <v>67</v>
      </c>
      <c r="E1130" t="s">
        <v>1026</v>
      </c>
      <c r="F1130" s="13">
        <v>1</v>
      </c>
      <c r="G1130" s="14">
        <v>1626.36</v>
      </c>
      <c r="H1130" s="13">
        <v>264</v>
      </c>
      <c r="I1130" t="s">
        <v>77</v>
      </c>
    </row>
    <row r="1131" spans="1:9" x14ac:dyDescent="0.3">
      <c r="A1131">
        <v>3458</v>
      </c>
      <c r="B1131" t="s">
        <v>295</v>
      </c>
      <c r="C1131" t="s">
        <v>114</v>
      </c>
      <c r="D1131" t="s">
        <v>66</v>
      </c>
      <c r="E1131" t="s">
        <v>1026</v>
      </c>
      <c r="F1131" s="13">
        <v>1</v>
      </c>
      <c r="G1131" s="14">
        <v>1495.32</v>
      </c>
      <c r="H1131" s="13">
        <v>264</v>
      </c>
      <c r="I1131" t="s">
        <v>77</v>
      </c>
    </row>
    <row r="1132" spans="1:9" x14ac:dyDescent="0.3">
      <c r="A1132">
        <v>4176</v>
      </c>
      <c r="B1132" t="s">
        <v>364</v>
      </c>
      <c r="C1132" t="s">
        <v>95</v>
      </c>
      <c r="D1132" t="s">
        <v>65</v>
      </c>
      <c r="E1132" t="s">
        <v>1026</v>
      </c>
      <c r="F1132" s="13">
        <v>1</v>
      </c>
      <c r="G1132" s="14">
        <v>2387.25</v>
      </c>
      <c r="H1132" s="13">
        <v>264</v>
      </c>
      <c r="I1132" t="s">
        <v>77</v>
      </c>
    </row>
    <row r="1133" spans="1:9" x14ac:dyDescent="0.3">
      <c r="A1133">
        <v>5165</v>
      </c>
      <c r="B1133" t="s">
        <v>277</v>
      </c>
      <c r="C1133" t="s">
        <v>97</v>
      </c>
      <c r="D1133" t="s">
        <v>65</v>
      </c>
      <c r="E1133" t="s">
        <v>1026</v>
      </c>
      <c r="F1133" s="13">
        <v>2</v>
      </c>
      <c r="G1133" s="14">
        <v>3197.03</v>
      </c>
      <c r="H1133" s="13">
        <v>264</v>
      </c>
      <c r="I1133" t="s">
        <v>77</v>
      </c>
    </row>
    <row r="1134" spans="1:9" x14ac:dyDescent="0.3">
      <c r="A1134">
        <v>6111</v>
      </c>
      <c r="B1134" t="s">
        <v>215</v>
      </c>
      <c r="C1134" t="s">
        <v>114</v>
      </c>
      <c r="D1134" t="s">
        <v>66</v>
      </c>
      <c r="E1134" t="s">
        <v>1026</v>
      </c>
      <c r="F1134" s="13">
        <v>1</v>
      </c>
      <c r="G1134" s="14">
        <v>4161.99</v>
      </c>
      <c r="H1134" s="13">
        <v>264</v>
      </c>
      <c r="I1134" t="s">
        <v>77</v>
      </c>
    </row>
    <row r="1135" spans="1:9" x14ac:dyDescent="0.3">
      <c r="A1135">
        <v>513</v>
      </c>
      <c r="B1135" t="s">
        <v>1027</v>
      </c>
      <c r="C1135" t="s">
        <v>123</v>
      </c>
      <c r="D1135" t="s">
        <v>65</v>
      </c>
      <c r="E1135" t="s">
        <v>1028</v>
      </c>
      <c r="F1135" s="13">
        <v>3</v>
      </c>
      <c r="G1135" s="14">
        <v>5005.32</v>
      </c>
      <c r="H1135" s="13">
        <v>263</v>
      </c>
      <c r="I1135" t="s">
        <v>77</v>
      </c>
    </row>
    <row r="1136" spans="1:9" x14ac:dyDescent="0.3">
      <c r="A1136">
        <v>4143</v>
      </c>
      <c r="B1136" t="s">
        <v>561</v>
      </c>
      <c r="C1136" t="s">
        <v>90</v>
      </c>
      <c r="D1136" t="s">
        <v>66</v>
      </c>
      <c r="E1136" t="s">
        <v>1028</v>
      </c>
      <c r="F1136" s="13">
        <v>1</v>
      </c>
      <c r="G1136" s="14">
        <v>1114.43</v>
      </c>
      <c r="H1136" s="13">
        <v>263</v>
      </c>
      <c r="I1136" t="s">
        <v>77</v>
      </c>
    </row>
    <row r="1137" spans="1:9" x14ac:dyDescent="0.3">
      <c r="A1137">
        <v>5089</v>
      </c>
      <c r="B1137" t="s">
        <v>1029</v>
      </c>
      <c r="C1137" t="s">
        <v>87</v>
      </c>
      <c r="D1137" t="s">
        <v>64</v>
      </c>
      <c r="E1137" t="s">
        <v>1028</v>
      </c>
      <c r="F1137" s="13">
        <v>1</v>
      </c>
      <c r="G1137" s="14">
        <v>195.97</v>
      </c>
      <c r="H1137" s="13">
        <v>263</v>
      </c>
      <c r="I1137" t="s">
        <v>77</v>
      </c>
    </row>
    <row r="1138" spans="1:9" x14ac:dyDescent="0.3">
      <c r="A1138">
        <v>6225</v>
      </c>
      <c r="B1138" t="s">
        <v>296</v>
      </c>
      <c r="C1138" t="s">
        <v>95</v>
      </c>
      <c r="D1138" t="s">
        <v>65</v>
      </c>
      <c r="E1138" t="s">
        <v>1028</v>
      </c>
      <c r="F1138" s="13">
        <v>11</v>
      </c>
      <c r="G1138" s="14">
        <v>26032.95</v>
      </c>
      <c r="H1138" s="13">
        <v>263</v>
      </c>
      <c r="I1138" t="s">
        <v>77</v>
      </c>
    </row>
    <row r="1139" spans="1:9" x14ac:dyDescent="0.3">
      <c r="A1139">
        <v>666</v>
      </c>
      <c r="B1139" t="s">
        <v>1030</v>
      </c>
      <c r="C1139" t="s">
        <v>123</v>
      </c>
      <c r="D1139" t="s">
        <v>65</v>
      </c>
      <c r="E1139" t="s">
        <v>1031</v>
      </c>
      <c r="F1139" s="13">
        <v>2</v>
      </c>
      <c r="G1139" s="14">
        <v>1164.17</v>
      </c>
      <c r="H1139" s="13">
        <v>262</v>
      </c>
      <c r="I1139" t="s">
        <v>77</v>
      </c>
    </row>
    <row r="1140" spans="1:9" x14ac:dyDescent="0.3">
      <c r="A1140">
        <v>3885</v>
      </c>
      <c r="B1140" t="s">
        <v>311</v>
      </c>
      <c r="C1140" t="s">
        <v>92</v>
      </c>
      <c r="D1140" t="s">
        <v>64</v>
      </c>
      <c r="E1140" t="s">
        <v>1031</v>
      </c>
      <c r="F1140" s="13">
        <v>3</v>
      </c>
      <c r="G1140" s="14">
        <v>6954.44</v>
      </c>
      <c r="H1140" s="13">
        <v>262</v>
      </c>
      <c r="I1140" t="s">
        <v>77</v>
      </c>
    </row>
    <row r="1141" spans="1:9" x14ac:dyDescent="0.3">
      <c r="A1141">
        <v>5214</v>
      </c>
      <c r="B1141" t="s">
        <v>1032</v>
      </c>
      <c r="C1141" t="s">
        <v>133</v>
      </c>
      <c r="D1141" t="s">
        <v>64</v>
      </c>
      <c r="E1141" t="s">
        <v>1031</v>
      </c>
      <c r="F1141" s="13">
        <v>1</v>
      </c>
      <c r="G1141" s="14">
        <v>837.4</v>
      </c>
      <c r="H1141" s="13">
        <v>262</v>
      </c>
      <c r="I1141" t="s">
        <v>77</v>
      </c>
    </row>
    <row r="1142" spans="1:9" x14ac:dyDescent="0.3">
      <c r="A1142">
        <v>5677</v>
      </c>
      <c r="B1142" t="s">
        <v>202</v>
      </c>
      <c r="C1142" t="s">
        <v>133</v>
      </c>
      <c r="D1142" t="s">
        <v>64</v>
      </c>
      <c r="E1142" t="s">
        <v>1031</v>
      </c>
      <c r="F1142" s="13">
        <v>2</v>
      </c>
      <c r="G1142" s="14">
        <v>549.4</v>
      </c>
      <c r="H1142" s="13">
        <v>262</v>
      </c>
      <c r="I1142" t="s">
        <v>77</v>
      </c>
    </row>
    <row r="1143" spans="1:9" x14ac:dyDescent="0.3">
      <c r="A1143">
        <v>877</v>
      </c>
      <c r="B1143" t="s">
        <v>653</v>
      </c>
      <c r="C1143" t="s">
        <v>249</v>
      </c>
      <c r="D1143" t="s">
        <v>67</v>
      </c>
      <c r="E1143" t="s">
        <v>1033</v>
      </c>
      <c r="F1143" s="13">
        <v>4</v>
      </c>
      <c r="G1143" s="14">
        <v>6064.19</v>
      </c>
      <c r="H1143" s="13">
        <v>261</v>
      </c>
      <c r="I1143" t="s">
        <v>77</v>
      </c>
    </row>
    <row r="1144" spans="1:9" x14ac:dyDescent="0.3">
      <c r="A1144">
        <v>3897</v>
      </c>
      <c r="B1144" t="s">
        <v>1034</v>
      </c>
      <c r="C1144" t="s">
        <v>137</v>
      </c>
      <c r="D1144" t="s">
        <v>64</v>
      </c>
      <c r="E1144" t="s">
        <v>1033</v>
      </c>
      <c r="F1144" s="13">
        <v>1</v>
      </c>
      <c r="G1144" s="14">
        <v>1099.76</v>
      </c>
      <c r="H1144" s="13">
        <v>261</v>
      </c>
      <c r="I1144" t="s">
        <v>77</v>
      </c>
    </row>
    <row r="1145" spans="1:9" x14ac:dyDescent="0.3">
      <c r="A1145">
        <v>5983</v>
      </c>
      <c r="B1145" t="s">
        <v>1035</v>
      </c>
      <c r="C1145" t="s">
        <v>97</v>
      </c>
      <c r="D1145" t="s">
        <v>65</v>
      </c>
      <c r="E1145" t="s">
        <v>1033</v>
      </c>
      <c r="F1145" s="13">
        <v>2</v>
      </c>
      <c r="G1145" s="14">
        <v>2220.52</v>
      </c>
      <c r="H1145" s="13">
        <v>261</v>
      </c>
      <c r="I1145" t="s">
        <v>77</v>
      </c>
    </row>
    <row r="1146" spans="1:9" x14ac:dyDescent="0.3">
      <c r="A1146">
        <v>7485</v>
      </c>
      <c r="B1146" t="s">
        <v>1036</v>
      </c>
      <c r="C1146" t="s">
        <v>121</v>
      </c>
      <c r="D1146" t="s">
        <v>67</v>
      </c>
      <c r="E1146" t="s">
        <v>1033</v>
      </c>
      <c r="F1146" s="13">
        <v>2</v>
      </c>
      <c r="G1146" s="14">
        <v>7560.73</v>
      </c>
      <c r="H1146" s="13">
        <v>261</v>
      </c>
      <c r="I1146" t="s">
        <v>77</v>
      </c>
    </row>
    <row r="1147" spans="1:9" x14ac:dyDescent="0.3">
      <c r="A1147">
        <v>7612</v>
      </c>
      <c r="B1147" t="s">
        <v>348</v>
      </c>
      <c r="C1147" t="s">
        <v>114</v>
      </c>
      <c r="D1147" t="s">
        <v>66</v>
      </c>
      <c r="E1147" t="s">
        <v>1033</v>
      </c>
      <c r="F1147" s="13">
        <v>1</v>
      </c>
      <c r="G1147" s="14">
        <v>3163.57</v>
      </c>
      <c r="H1147" s="13">
        <v>261</v>
      </c>
      <c r="I1147" t="s">
        <v>77</v>
      </c>
    </row>
    <row r="1148" spans="1:9" x14ac:dyDescent="0.3">
      <c r="A1148">
        <v>8087</v>
      </c>
      <c r="B1148" t="s">
        <v>1037</v>
      </c>
      <c r="C1148" t="s">
        <v>90</v>
      </c>
      <c r="D1148" t="s">
        <v>66</v>
      </c>
      <c r="E1148" t="s">
        <v>1033</v>
      </c>
      <c r="F1148" s="13">
        <v>1</v>
      </c>
      <c r="G1148" s="14">
        <v>869.8</v>
      </c>
      <c r="H1148" s="13">
        <v>261</v>
      </c>
      <c r="I1148" t="s">
        <v>77</v>
      </c>
    </row>
    <row r="1149" spans="1:9" x14ac:dyDescent="0.3">
      <c r="A1149">
        <v>8101</v>
      </c>
      <c r="B1149" t="s">
        <v>1038</v>
      </c>
      <c r="C1149" t="s">
        <v>90</v>
      </c>
      <c r="D1149" t="s">
        <v>66</v>
      </c>
      <c r="E1149" t="s">
        <v>1033</v>
      </c>
      <c r="F1149" s="13">
        <v>2</v>
      </c>
      <c r="G1149" s="14">
        <v>3868.01</v>
      </c>
      <c r="H1149" s="13">
        <v>261</v>
      </c>
      <c r="I1149" t="s">
        <v>77</v>
      </c>
    </row>
    <row r="1150" spans="1:9" x14ac:dyDescent="0.3">
      <c r="A1150">
        <v>920</v>
      </c>
      <c r="B1150" t="s">
        <v>1039</v>
      </c>
      <c r="C1150" t="s">
        <v>92</v>
      </c>
      <c r="D1150" t="s">
        <v>64</v>
      </c>
      <c r="E1150" t="s">
        <v>1040</v>
      </c>
      <c r="F1150" s="13">
        <v>1</v>
      </c>
      <c r="G1150" s="14">
        <v>1367.1</v>
      </c>
      <c r="H1150" s="13">
        <v>260</v>
      </c>
      <c r="I1150" t="s">
        <v>77</v>
      </c>
    </row>
    <row r="1151" spans="1:9" x14ac:dyDescent="0.3">
      <c r="A1151">
        <v>1816</v>
      </c>
      <c r="B1151" t="s">
        <v>120</v>
      </c>
      <c r="C1151" t="s">
        <v>137</v>
      </c>
      <c r="D1151" t="s">
        <v>64</v>
      </c>
      <c r="E1151" t="s">
        <v>1040</v>
      </c>
      <c r="F1151" s="13">
        <v>1</v>
      </c>
      <c r="G1151" s="14">
        <v>2293.38</v>
      </c>
      <c r="H1151" s="13">
        <v>260</v>
      </c>
      <c r="I1151" t="s">
        <v>77</v>
      </c>
    </row>
    <row r="1152" spans="1:9" x14ac:dyDescent="0.3">
      <c r="A1152">
        <v>2403</v>
      </c>
      <c r="B1152" t="s">
        <v>1041</v>
      </c>
      <c r="C1152" t="s">
        <v>103</v>
      </c>
      <c r="D1152" t="s">
        <v>67</v>
      </c>
      <c r="E1152" t="s">
        <v>1040</v>
      </c>
      <c r="F1152" s="13">
        <v>2</v>
      </c>
      <c r="G1152" s="14">
        <v>6299.74</v>
      </c>
      <c r="H1152" s="13">
        <v>260</v>
      </c>
      <c r="I1152" t="s">
        <v>77</v>
      </c>
    </row>
    <row r="1153" spans="1:9" x14ac:dyDescent="0.3">
      <c r="A1153">
        <v>3275</v>
      </c>
      <c r="B1153" t="s">
        <v>1042</v>
      </c>
      <c r="C1153" t="s">
        <v>114</v>
      </c>
      <c r="D1153" t="s">
        <v>66</v>
      </c>
      <c r="E1153" t="s">
        <v>1040</v>
      </c>
      <c r="F1153" s="13">
        <v>3</v>
      </c>
      <c r="G1153" s="14">
        <v>10338.219999999999</v>
      </c>
      <c r="H1153" s="13">
        <v>260</v>
      </c>
      <c r="I1153" t="s">
        <v>77</v>
      </c>
    </row>
    <row r="1154" spans="1:9" x14ac:dyDescent="0.3">
      <c r="A1154">
        <v>3280</v>
      </c>
      <c r="B1154" t="s">
        <v>162</v>
      </c>
      <c r="C1154" t="s">
        <v>92</v>
      </c>
      <c r="D1154" t="s">
        <v>64</v>
      </c>
      <c r="E1154" t="s">
        <v>1040</v>
      </c>
      <c r="F1154" s="13">
        <v>1</v>
      </c>
      <c r="G1154" s="14">
        <v>118.86</v>
      </c>
      <c r="H1154" s="13">
        <v>260</v>
      </c>
      <c r="I1154" t="s">
        <v>77</v>
      </c>
    </row>
    <row r="1155" spans="1:9" x14ac:dyDescent="0.3">
      <c r="A1155">
        <v>3626</v>
      </c>
      <c r="B1155" t="s">
        <v>120</v>
      </c>
      <c r="C1155" t="s">
        <v>137</v>
      </c>
      <c r="D1155" t="s">
        <v>64</v>
      </c>
      <c r="E1155" t="s">
        <v>1040</v>
      </c>
      <c r="F1155" s="13">
        <v>1</v>
      </c>
      <c r="G1155" s="14">
        <v>9567.6299999999992</v>
      </c>
      <c r="H1155" s="13">
        <v>260</v>
      </c>
      <c r="I1155" t="s">
        <v>77</v>
      </c>
    </row>
    <row r="1156" spans="1:9" x14ac:dyDescent="0.3">
      <c r="A1156">
        <v>3761</v>
      </c>
      <c r="B1156" t="s">
        <v>175</v>
      </c>
      <c r="C1156" t="s">
        <v>95</v>
      </c>
      <c r="D1156" t="s">
        <v>65</v>
      </c>
      <c r="E1156" t="s">
        <v>1040</v>
      </c>
      <c r="F1156" s="13">
        <v>2</v>
      </c>
      <c r="G1156" s="14">
        <v>3507.06</v>
      </c>
      <c r="H1156" s="13">
        <v>260</v>
      </c>
      <c r="I1156" t="s">
        <v>77</v>
      </c>
    </row>
    <row r="1157" spans="1:9" x14ac:dyDescent="0.3">
      <c r="A1157">
        <v>5099</v>
      </c>
      <c r="B1157" t="s">
        <v>162</v>
      </c>
      <c r="C1157" t="s">
        <v>137</v>
      </c>
      <c r="D1157" t="s">
        <v>64</v>
      </c>
      <c r="E1157" t="s">
        <v>1040</v>
      </c>
      <c r="F1157" s="13">
        <v>2</v>
      </c>
      <c r="G1157" s="14">
        <v>4943.26</v>
      </c>
      <c r="H1157" s="13">
        <v>260</v>
      </c>
      <c r="I1157" t="s">
        <v>77</v>
      </c>
    </row>
    <row r="1158" spans="1:9" x14ac:dyDescent="0.3">
      <c r="A1158">
        <v>6522</v>
      </c>
      <c r="B1158" t="s">
        <v>1043</v>
      </c>
      <c r="C1158" t="s">
        <v>114</v>
      </c>
      <c r="D1158" t="s">
        <v>66</v>
      </c>
      <c r="E1158" t="s">
        <v>1040</v>
      </c>
      <c r="F1158" s="13">
        <v>3</v>
      </c>
      <c r="G1158" s="14">
        <v>4564.22</v>
      </c>
      <c r="H1158" s="13">
        <v>260</v>
      </c>
      <c r="I1158" t="s">
        <v>77</v>
      </c>
    </row>
    <row r="1159" spans="1:9" x14ac:dyDescent="0.3">
      <c r="A1159">
        <v>8921</v>
      </c>
      <c r="B1159" t="s">
        <v>342</v>
      </c>
      <c r="C1159" t="s">
        <v>137</v>
      </c>
      <c r="D1159" t="s">
        <v>64</v>
      </c>
      <c r="E1159" t="s">
        <v>1040</v>
      </c>
      <c r="F1159" s="13">
        <v>4</v>
      </c>
      <c r="G1159" s="14">
        <v>7318.47</v>
      </c>
      <c r="H1159" s="13">
        <v>260</v>
      </c>
      <c r="I1159" t="s">
        <v>77</v>
      </c>
    </row>
    <row r="1160" spans="1:9" x14ac:dyDescent="0.3">
      <c r="A1160">
        <v>8940</v>
      </c>
      <c r="B1160" t="s">
        <v>694</v>
      </c>
      <c r="C1160" t="s">
        <v>95</v>
      </c>
      <c r="D1160" t="s">
        <v>65</v>
      </c>
      <c r="E1160" t="s">
        <v>1040</v>
      </c>
      <c r="F1160" s="13">
        <v>1</v>
      </c>
      <c r="G1160" s="14">
        <v>2098.4699999999998</v>
      </c>
      <c r="H1160" s="13">
        <v>260</v>
      </c>
      <c r="I1160" t="s">
        <v>77</v>
      </c>
    </row>
    <row r="1161" spans="1:9" x14ac:dyDescent="0.3">
      <c r="A1161">
        <v>2926</v>
      </c>
      <c r="B1161" t="s">
        <v>1044</v>
      </c>
      <c r="C1161" t="s">
        <v>97</v>
      </c>
      <c r="D1161" t="s">
        <v>65</v>
      </c>
      <c r="E1161" t="s">
        <v>1045</v>
      </c>
      <c r="F1161" s="13">
        <v>4</v>
      </c>
      <c r="G1161" s="14">
        <v>8305.26</v>
      </c>
      <c r="H1161" s="13">
        <v>259</v>
      </c>
      <c r="I1161" t="s">
        <v>77</v>
      </c>
    </row>
    <row r="1162" spans="1:9" x14ac:dyDescent="0.3">
      <c r="A1162">
        <v>3293</v>
      </c>
      <c r="B1162" t="s">
        <v>1046</v>
      </c>
      <c r="C1162" t="s">
        <v>137</v>
      </c>
      <c r="D1162" t="s">
        <v>64</v>
      </c>
      <c r="E1162" t="s">
        <v>1045</v>
      </c>
      <c r="F1162" s="13">
        <v>1</v>
      </c>
      <c r="G1162" s="14">
        <v>1550.64</v>
      </c>
      <c r="H1162" s="13">
        <v>259</v>
      </c>
      <c r="I1162" t="s">
        <v>77</v>
      </c>
    </row>
    <row r="1163" spans="1:9" x14ac:dyDescent="0.3">
      <c r="A1163">
        <v>3753</v>
      </c>
      <c r="B1163" t="s">
        <v>485</v>
      </c>
      <c r="C1163" t="s">
        <v>133</v>
      </c>
      <c r="D1163" t="s">
        <v>64</v>
      </c>
      <c r="E1163" t="s">
        <v>1045</v>
      </c>
      <c r="F1163" s="13">
        <v>2</v>
      </c>
      <c r="G1163" s="14">
        <v>1234.97</v>
      </c>
      <c r="H1163" s="13">
        <v>259</v>
      </c>
      <c r="I1163" t="s">
        <v>77</v>
      </c>
    </row>
    <row r="1164" spans="1:9" x14ac:dyDescent="0.3">
      <c r="A1164">
        <v>5200</v>
      </c>
      <c r="B1164" t="s">
        <v>1047</v>
      </c>
      <c r="C1164" t="s">
        <v>92</v>
      </c>
      <c r="D1164" t="s">
        <v>64</v>
      </c>
      <c r="E1164" t="s">
        <v>1045</v>
      </c>
      <c r="F1164" s="13">
        <v>2</v>
      </c>
      <c r="G1164" s="14">
        <v>2322.02</v>
      </c>
      <c r="H1164" s="13">
        <v>259</v>
      </c>
      <c r="I1164" t="s">
        <v>77</v>
      </c>
    </row>
    <row r="1165" spans="1:9" x14ac:dyDescent="0.3">
      <c r="A1165">
        <v>6949</v>
      </c>
      <c r="B1165" t="s">
        <v>423</v>
      </c>
      <c r="C1165" t="s">
        <v>90</v>
      </c>
      <c r="D1165" t="s">
        <v>66</v>
      </c>
      <c r="E1165" t="s">
        <v>1045</v>
      </c>
      <c r="F1165" s="13">
        <v>1</v>
      </c>
      <c r="G1165" s="14">
        <v>111.96</v>
      </c>
      <c r="H1165" s="13">
        <v>259</v>
      </c>
      <c r="I1165" t="s">
        <v>77</v>
      </c>
    </row>
    <row r="1166" spans="1:9" x14ac:dyDescent="0.3">
      <c r="A1166">
        <v>8008</v>
      </c>
      <c r="B1166" t="s">
        <v>588</v>
      </c>
      <c r="C1166" t="s">
        <v>123</v>
      </c>
      <c r="D1166" t="s">
        <v>65</v>
      </c>
      <c r="E1166" t="s">
        <v>1045</v>
      </c>
      <c r="F1166" s="13">
        <v>1</v>
      </c>
      <c r="G1166" s="14">
        <v>832.36</v>
      </c>
      <c r="H1166" s="13">
        <v>259</v>
      </c>
      <c r="I1166" t="s">
        <v>77</v>
      </c>
    </row>
    <row r="1167" spans="1:9" x14ac:dyDescent="0.3">
      <c r="A1167">
        <v>8868</v>
      </c>
      <c r="B1167" t="s">
        <v>221</v>
      </c>
      <c r="C1167" t="s">
        <v>90</v>
      </c>
      <c r="D1167" t="s">
        <v>66</v>
      </c>
      <c r="E1167" t="s">
        <v>1045</v>
      </c>
      <c r="F1167" s="13">
        <v>1</v>
      </c>
      <c r="G1167" s="14">
        <v>2308.7800000000002</v>
      </c>
      <c r="H1167" s="13">
        <v>259</v>
      </c>
      <c r="I1167" t="s">
        <v>77</v>
      </c>
    </row>
    <row r="1168" spans="1:9" x14ac:dyDescent="0.3">
      <c r="A1168">
        <v>169</v>
      </c>
      <c r="B1168" t="s">
        <v>116</v>
      </c>
      <c r="C1168" t="s">
        <v>114</v>
      </c>
      <c r="D1168" t="s">
        <v>66</v>
      </c>
      <c r="E1168" t="s">
        <v>1048</v>
      </c>
      <c r="F1168" s="13">
        <v>3</v>
      </c>
      <c r="G1168" s="14">
        <v>4562.0600000000004</v>
      </c>
      <c r="H1168" s="13">
        <v>258</v>
      </c>
      <c r="I1168" t="s">
        <v>77</v>
      </c>
    </row>
    <row r="1169" spans="1:9" x14ac:dyDescent="0.3">
      <c r="A1169">
        <v>4815</v>
      </c>
      <c r="B1169" t="s">
        <v>460</v>
      </c>
      <c r="C1169" t="s">
        <v>103</v>
      </c>
      <c r="D1169" t="s">
        <v>67</v>
      </c>
      <c r="E1169" t="s">
        <v>1048</v>
      </c>
      <c r="F1169" s="13">
        <v>2</v>
      </c>
      <c r="G1169" s="14">
        <v>1521.24</v>
      </c>
      <c r="H1169" s="13">
        <v>258</v>
      </c>
      <c r="I1169" t="s">
        <v>77</v>
      </c>
    </row>
    <row r="1170" spans="1:9" x14ac:dyDescent="0.3">
      <c r="A1170">
        <v>4817</v>
      </c>
      <c r="B1170" t="s">
        <v>342</v>
      </c>
      <c r="C1170" t="s">
        <v>92</v>
      </c>
      <c r="D1170" t="s">
        <v>64</v>
      </c>
      <c r="E1170" t="s">
        <v>1048</v>
      </c>
      <c r="F1170" s="13">
        <v>1</v>
      </c>
      <c r="G1170" s="14">
        <v>2424.7800000000002</v>
      </c>
      <c r="H1170" s="13">
        <v>258</v>
      </c>
      <c r="I1170" t="s">
        <v>77</v>
      </c>
    </row>
    <row r="1171" spans="1:9" x14ac:dyDescent="0.3">
      <c r="A1171">
        <v>5652</v>
      </c>
      <c r="B1171" t="s">
        <v>1049</v>
      </c>
      <c r="C1171" t="s">
        <v>90</v>
      </c>
      <c r="D1171" t="s">
        <v>66</v>
      </c>
      <c r="E1171" t="s">
        <v>1048</v>
      </c>
      <c r="F1171" s="13">
        <v>1</v>
      </c>
      <c r="G1171" s="14">
        <v>5542.18</v>
      </c>
      <c r="H1171" s="13">
        <v>258</v>
      </c>
      <c r="I1171" t="s">
        <v>77</v>
      </c>
    </row>
    <row r="1172" spans="1:9" x14ac:dyDescent="0.3">
      <c r="A1172">
        <v>5703</v>
      </c>
      <c r="B1172" t="s">
        <v>1050</v>
      </c>
      <c r="C1172" t="s">
        <v>100</v>
      </c>
      <c r="D1172" t="s">
        <v>66</v>
      </c>
      <c r="E1172" t="s">
        <v>1048</v>
      </c>
      <c r="F1172" s="13">
        <v>3</v>
      </c>
      <c r="G1172" s="14">
        <v>4416.8900000000003</v>
      </c>
      <c r="H1172" s="13">
        <v>258</v>
      </c>
      <c r="I1172" t="s">
        <v>77</v>
      </c>
    </row>
    <row r="1173" spans="1:9" x14ac:dyDescent="0.3">
      <c r="A1173">
        <v>7219</v>
      </c>
      <c r="B1173" t="s">
        <v>1051</v>
      </c>
      <c r="C1173" t="s">
        <v>92</v>
      </c>
      <c r="D1173" t="s">
        <v>64</v>
      </c>
      <c r="E1173" t="s">
        <v>1048</v>
      </c>
      <c r="F1173" s="13">
        <v>2</v>
      </c>
      <c r="G1173" s="14">
        <v>3777.57</v>
      </c>
      <c r="H1173" s="13">
        <v>258</v>
      </c>
      <c r="I1173" t="s">
        <v>77</v>
      </c>
    </row>
    <row r="1174" spans="1:9" x14ac:dyDescent="0.3">
      <c r="A1174">
        <v>7710</v>
      </c>
      <c r="B1174" t="s">
        <v>371</v>
      </c>
      <c r="C1174" t="s">
        <v>92</v>
      </c>
      <c r="D1174" t="s">
        <v>64</v>
      </c>
      <c r="E1174" t="s">
        <v>1048</v>
      </c>
      <c r="F1174" s="13">
        <v>1</v>
      </c>
      <c r="G1174" s="14">
        <v>8590.09</v>
      </c>
      <c r="H1174" s="13">
        <v>258</v>
      </c>
      <c r="I1174" t="s">
        <v>77</v>
      </c>
    </row>
    <row r="1175" spans="1:9" x14ac:dyDescent="0.3">
      <c r="A1175">
        <v>8511</v>
      </c>
      <c r="B1175" t="s">
        <v>1052</v>
      </c>
      <c r="C1175" t="s">
        <v>90</v>
      </c>
      <c r="D1175" t="s">
        <v>66</v>
      </c>
      <c r="E1175" t="s">
        <v>1048</v>
      </c>
      <c r="F1175" s="13">
        <v>1</v>
      </c>
      <c r="G1175" s="14">
        <v>3525.07</v>
      </c>
      <c r="H1175" s="13">
        <v>258</v>
      </c>
      <c r="I1175" t="s">
        <v>77</v>
      </c>
    </row>
    <row r="1176" spans="1:9" x14ac:dyDescent="0.3">
      <c r="A1176">
        <v>8646</v>
      </c>
      <c r="B1176" t="s">
        <v>588</v>
      </c>
      <c r="C1176" t="s">
        <v>97</v>
      </c>
      <c r="D1176" t="s">
        <v>65</v>
      </c>
      <c r="E1176" t="s">
        <v>1048</v>
      </c>
      <c r="F1176" s="13">
        <v>1</v>
      </c>
      <c r="G1176" s="14">
        <v>3547.17</v>
      </c>
      <c r="H1176" s="13">
        <v>258</v>
      </c>
      <c r="I1176" t="s">
        <v>77</v>
      </c>
    </row>
    <row r="1177" spans="1:9" x14ac:dyDescent="0.3">
      <c r="A1177">
        <v>238</v>
      </c>
      <c r="B1177" t="s">
        <v>1053</v>
      </c>
      <c r="C1177" t="s">
        <v>92</v>
      </c>
      <c r="D1177" t="s">
        <v>64</v>
      </c>
      <c r="E1177" t="s">
        <v>1054</v>
      </c>
      <c r="F1177" s="13">
        <v>1</v>
      </c>
      <c r="G1177" s="14">
        <v>1961.21</v>
      </c>
      <c r="H1177" s="13">
        <v>257</v>
      </c>
      <c r="I1177" t="s">
        <v>77</v>
      </c>
    </row>
    <row r="1178" spans="1:9" x14ac:dyDescent="0.3">
      <c r="A1178">
        <v>2474</v>
      </c>
      <c r="B1178" t="s">
        <v>1055</v>
      </c>
      <c r="C1178" t="s">
        <v>95</v>
      </c>
      <c r="D1178" t="s">
        <v>65</v>
      </c>
      <c r="E1178" t="s">
        <v>1054</v>
      </c>
      <c r="F1178" s="13">
        <v>1</v>
      </c>
      <c r="G1178" s="14">
        <v>866.19</v>
      </c>
      <c r="H1178" s="13">
        <v>257</v>
      </c>
      <c r="I1178" t="s">
        <v>77</v>
      </c>
    </row>
    <row r="1179" spans="1:9" x14ac:dyDescent="0.3">
      <c r="A1179">
        <v>2888</v>
      </c>
      <c r="B1179" t="s">
        <v>325</v>
      </c>
      <c r="C1179" t="s">
        <v>249</v>
      </c>
      <c r="D1179" t="s">
        <v>67</v>
      </c>
      <c r="E1179" t="s">
        <v>1054</v>
      </c>
      <c r="F1179" s="13">
        <v>2</v>
      </c>
      <c r="G1179" s="14">
        <v>6604.74</v>
      </c>
      <c r="H1179" s="13">
        <v>257</v>
      </c>
      <c r="I1179" t="s">
        <v>77</v>
      </c>
    </row>
    <row r="1180" spans="1:9" x14ac:dyDescent="0.3">
      <c r="A1180">
        <v>2992</v>
      </c>
      <c r="B1180" t="s">
        <v>1056</v>
      </c>
      <c r="C1180" t="s">
        <v>92</v>
      </c>
      <c r="D1180" t="s">
        <v>64</v>
      </c>
      <c r="E1180" t="s">
        <v>1054</v>
      </c>
      <c r="F1180" s="13">
        <v>1</v>
      </c>
      <c r="G1180" s="14">
        <v>1327.28</v>
      </c>
      <c r="H1180" s="13">
        <v>257</v>
      </c>
      <c r="I1180" t="s">
        <v>77</v>
      </c>
    </row>
    <row r="1181" spans="1:9" x14ac:dyDescent="0.3">
      <c r="A1181">
        <v>6517</v>
      </c>
      <c r="B1181" t="s">
        <v>1057</v>
      </c>
      <c r="C1181" t="s">
        <v>92</v>
      </c>
      <c r="D1181" t="s">
        <v>64</v>
      </c>
      <c r="E1181" t="s">
        <v>1054</v>
      </c>
      <c r="F1181" s="13">
        <v>1</v>
      </c>
      <c r="G1181" s="14">
        <v>2138.35</v>
      </c>
      <c r="H1181" s="13">
        <v>257</v>
      </c>
      <c r="I1181" t="s">
        <v>77</v>
      </c>
    </row>
    <row r="1182" spans="1:9" x14ac:dyDescent="0.3">
      <c r="A1182">
        <v>7753</v>
      </c>
      <c r="B1182" t="s">
        <v>626</v>
      </c>
      <c r="C1182" t="s">
        <v>92</v>
      </c>
      <c r="D1182" t="s">
        <v>64</v>
      </c>
      <c r="E1182" t="s">
        <v>1054</v>
      </c>
      <c r="F1182" s="13">
        <v>2</v>
      </c>
      <c r="G1182" s="14">
        <v>3538.34</v>
      </c>
      <c r="H1182" s="13">
        <v>257</v>
      </c>
      <c r="I1182" t="s">
        <v>77</v>
      </c>
    </row>
    <row r="1183" spans="1:9" x14ac:dyDescent="0.3">
      <c r="A1183">
        <v>7795</v>
      </c>
      <c r="B1183" t="s">
        <v>253</v>
      </c>
      <c r="C1183" t="s">
        <v>249</v>
      </c>
      <c r="D1183" t="s">
        <v>67</v>
      </c>
      <c r="E1183" t="s">
        <v>1054</v>
      </c>
      <c r="F1183" s="13">
        <v>1</v>
      </c>
      <c r="G1183" s="14">
        <v>656.61</v>
      </c>
      <c r="H1183" s="13">
        <v>257</v>
      </c>
      <c r="I1183" t="s">
        <v>77</v>
      </c>
    </row>
    <row r="1184" spans="1:9" x14ac:dyDescent="0.3">
      <c r="A1184">
        <v>7961</v>
      </c>
      <c r="B1184" t="s">
        <v>1058</v>
      </c>
      <c r="C1184" t="s">
        <v>90</v>
      </c>
      <c r="D1184" t="s">
        <v>66</v>
      </c>
      <c r="E1184" t="s">
        <v>1054</v>
      </c>
      <c r="F1184" s="13">
        <v>1</v>
      </c>
      <c r="G1184" s="14">
        <v>153.37</v>
      </c>
      <c r="H1184" s="13">
        <v>257</v>
      </c>
      <c r="I1184" t="s">
        <v>77</v>
      </c>
    </row>
    <row r="1185" spans="1:9" x14ac:dyDescent="0.3">
      <c r="A1185">
        <v>8253</v>
      </c>
      <c r="B1185" t="s">
        <v>1059</v>
      </c>
      <c r="C1185" t="s">
        <v>137</v>
      </c>
      <c r="D1185" t="s">
        <v>64</v>
      </c>
      <c r="E1185" t="s">
        <v>1054</v>
      </c>
      <c r="F1185" s="13">
        <v>1</v>
      </c>
      <c r="G1185" s="14">
        <v>1218</v>
      </c>
      <c r="H1185" s="13">
        <v>257</v>
      </c>
      <c r="I1185" t="s">
        <v>77</v>
      </c>
    </row>
    <row r="1186" spans="1:9" x14ac:dyDescent="0.3">
      <c r="A1186">
        <v>508</v>
      </c>
      <c r="B1186" t="s">
        <v>509</v>
      </c>
      <c r="C1186" t="s">
        <v>92</v>
      </c>
      <c r="D1186" t="s">
        <v>64</v>
      </c>
      <c r="E1186" t="s">
        <v>1060</v>
      </c>
      <c r="F1186" s="13">
        <v>1</v>
      </c>
      <c r="G1186" s="14">
        <v>348.54</v>
      </c>
      <c r="H1186" s="13">
        <v>256</v>
      </c>
      <c r="I1186" t="s">
        <v>77</v>
      </c>
    </row>
    <row r="1187" spans="1:9" x14ac:dyDescent="0.3">
      <c r="A1187">
        <v>970</v>
      </c>
      <c r="B1187" t="s">
        <v>149</v>
      </c>
      <c r="C1187" t="s">
        <v>123</v>
      </c>
      <c r="D1187" t="s">
        <v>65</v>
      </c>
      <c r="E1187" t="s">
        <v>1060</v>
      </c>
      <c r="F1187" s="13">
        <v>2</v>
      </c>
      <c r="G1187" s="14">
        <v>772.96</v>
      </c>
      <c r="H1187" s="13">
        <v>256</v>
      </c>
      <c r="I1187" t="s">
        <v>77</v>
      </c>
    </row>
    <row r="1188" spans="1:9" x14ac:dyDescent="0.3">
      <c r="A1188">
        <v>1019</v>
      </c>
      <c r="B1188" t="s">
        <v>109</v>
      </c>
      <c r="C1188" t="s">
        <v>249</v>
      </c>
      <c r="D1188" t="s">
        <v>67</v>
      </c>
      <c r="E1188" t="s">
        <v>1060</v>
      </c>
      <c r="F1188" s="13">
        <v>1</v>
      </c>
      <c r="G1188" s="14">
        <v>5843.11</v>
      </c>
      <c r="H1188" s="13">
        <v>256</v>
      </c>
      <c r="I1188" t="s">
        <v>77</v>
      </c>
    </row>
    <row r="1189" spans="1:9" x14ac:dyDescent="0.3">
      <c r="A1189">
        <v>1374</v>
      </c>
      <c r="B1189" t="s">
        <v>302</v>
      </c>
      <c r="C1189" t="s">
        <v>133</v>
      </c>
      <c r="D1189" t="s">
        <v>64</v>
      </c>
      <c r="E1189" t="s">
        <v>1060</v>
      </c>
      <c r="F1189" s="13">
        <v>1</v>
      </c>
      <c r="G1189" s="14">
        <v>2041.85</v>
      </c>
      <c r="H1189" s="13">
        <v>256</v>
      </c>
      <c r="I1189" t="s">
        <v>77</v>
      </c>
    </row>
    <row r="1190" spans="1:9" x14ac:dyDescent="0.3">
      <c r="A1190">
        <v>3853</v>
      </c>
      <c r="B1190" t="s">
        <v>1061</v>
      </c>
      <c r="C1190" t="s">
        <v>137</v>
      </c>
      <c r="D1190" t="s">
        <v>64</v>
      </c>
      <c r="E1190" t="s">
        <v>1060</v>
      </c>
      <c r="F1190" s="13">
        <v>1</v>
      </c>
      <c r="G1190" s="14">
        <v>608.35</v>
      </c>
      <c r="H1190" s="13">
        <v>256</v>
      </c>
      <c r="I1190" t="s">
        <v>77</v>
      </c>
    </row>
    <row r="1191" spans="1:9" x14ac:dyDescent="0.3">
      <c r="A1191">
        <v>4323</v>
      </c>
      <c r="B1191" t="s">
        <v>1062</v>
      </c>
      <c r="C1191" t="s">
        <v>137</v>
      </c>
      <c r="D1191" t="s">
        <v>64</v>
      </c>
      <c r="E1191" t="s">
        <v>1060</v>
      </c>
      <c r="F1191" s="13">
        <v>2</v>
      </c>
      <c r="G1191" s="14">
        <v>3446.64</v>
      </c>
      <c r="H1191" s="13">
        <v>256</v>
      </c>
      <c r="I1191" t="s">
        <v>77</v>
      </c>
    </row>
    <row r="1192" spans="1:9" x14ac:dyDescent="0.3">
      <c r="A1192">
        <v>7768</v>
      </c>
      <c r="B1192" t="s">
        <v>636</v>
      </c>
      <c r="C1192" t="s">
        <v>97</v>
      </c>
      <c r="D1192" t="s">
        <v>65</v>
      </c>
      <c r="E1192" t="s">
        <v>1060</v>
      </c>
      <c r="F1192" s="13">
        <v>1</v>
      </c>
      <c r="G1192" s="14">
        <v>167.53</v>
      </c>
      <c r="H1192" s="13">
        <v>256</v>
      </c>
      <c r="I1192" t="s">
        <v>77</v>
      </c>
    </row>
    <row r="1193" spans="1:9" x14ac:dyDescent="0.3">
      <c r="A1193">
        <v>7896</v>
      </c>
      <c r="B1193" t="s">
        <v>1063</v>
      </c>
      <c r="C1193" t="s">
        <v>123</v>
      </c>
      <c r="D1193" t="s">
        <v>65</v>
      </c>
      <c r="E1193" t="s">
        <v>1060</v>
      </c>
      <c r="F1193" s="13">
        <v>1</v>
      </c>
      <c r="G1193" s="14">
        <v>137.24</v>
      </c>
      <c r="H1193" s="13">
        <v>256</v>
      </c>
      <c r="I1193" t="s">
        <v>77</v>
      </c>
    </row>
    <row r="1194" spans="1:9" x14ac:dyDescent="0.3">
      <c r="A1194">
        <v>3195</v>
      </c>
      <c r="B1194" t="s">
        <v>504</v>
      </c>
      <c r="C1194" t="s">
        <v>92</v>
      </c>
      <c r="D1194" t="s">
        <v>64</v>
      </c>
      <c r="E1194" t="s">
        <v>1064</v>
      </c>
      <c r="F1194" s="13">
        <v>2</v>
      </c>
      <c r="G1194" s="14">
        <v>5769.33</v>
      </c>
      <c r="H1194" s="13">
        <v>255</v>
      </c>
      <c r="I1194" t="s">
        <v>77</v>
      </c>
    </row>
    <row r="1195" spans="1:9" x14ac:dyDescent="0.3">
      <c r="A1195">
        <v>4579</v>
      </c>
      <c r="B1195" t="s">
        <v>162</v>
      </c>
      <c r="C1195" t="s">
        <v>92</v>
      </c>
      <c r="D1195" t="s">
        <v>64</v>
      </c>
      <c r="E1195" t="s">
        <v>1064</v>
      </c>
      <c r="F1195" s="13">
        <v>1</v>
      </c>
      <c r="G1195" s="14">
        <v>3915.5</v>
      </c>
      <c r="H1195" s="13">
        <v>255</v>
      </c>
      <c r="I1195" t="s">
        <v>77</v>
      </c>
    </row>
    <row r="1196" spans="1:9" x14ac:dyDescent="0.3">
      <c r="A1196">
        <v>4775</v>
      </c>
      <c r="B1196" t="s">
        <v>1065</v>
      </c>
      <c r="C1196" t="s">
        <v>95</v>
      </c>
      <c r="D1196" t="s">
        <v>65</v>
      </c>
      <c r="E1196" t="s">
        <v>1064</v>
      </c>
      <c r="F1196" s="13">
        <v>1</v>
      </c>
      <c r="G1196" s="14">
        <v>141.69999999999999</v>
      </c>
      <c r="H1196" s="13">
        <v>255</v>
      </c>
      <c r="I1196" t="s">
        <v>77</v>
      </c>
    </row>
    <row r="1197" spans="1:9" x14ac:dyDescent="0.3">
      <c r="A1197">
        <v>5054</v>
      </c>
      <c r="B1197" t="s">
        <v>407</v>
      </c>
      <c r="C1197" t="s">
        <v>92</v>
      </c>
      <c r="D1197" t="s">
        <v>64</v>
      </c>
      <c r="E1197" t="s">
        <v>1064</v>
      </c>
      <c r="F1197" s="13">
        <v>2</v>
      </c>
      <c r="G1197" s="14">
        <v>5701.64</v>
      </c>
      <c r="H1197" s="13">
        <v>255</v>
      </c>
      <c r="I1197" t="s">
        <v>77</v>
      </c>
    </row>
    <row r="1198" spans="1:9" x14ac:dyDescent="0.3">
      <c r="A1198">
        <v>5589</v>
      </c>
      <c r="B1198" t="s">
        <v>1066</v>
      </c>
      <c r="C1198" t="s">
        <v>92</v>
      </c>
      <c r="D1198" t="s">
        <v>64</v>
      </c>
      <c r="E1198" t="s">
        <v>1064</v>
      </c>
      <c r="F1198" s="13">
        <v>1</v>
      </c>
      <c r="G1198" s="14">
        <v>1174.7</v>
      </c>
      <c r="H1198" s="13">
        <v>255</v>
      </c>
      <c r="I1198" t="s">
        <v>77</v>
      </c>
    </row>
    <row r="1199" spans="1:9" x14ac:dyDescent="0.3">
      <c r="A1199">
        <v>6429</v>
      </c>
      <c r="B1199" t="s">
        <v>449</v>
      </c>
      <c r="C1199" t="s">
        <v>249</v>
      </c>
      <c r="D1199" t="s">
        <v>67</v>
      </c>
      <c r="E1199" t="s">
        <v>1064</v>
      </c>
      <c r="F1199" s="13">
        <v>3</v>
      </c>
      <c r="G1199" s="14">
        <v>2812.59</v>
      </c>
      <c r="H1199" s="13">
        <v>255</v>
      </c>
      <c r="I1199" t="s">
        <v>77</v>
      </c>
    </row>
    <row r="1200" spans="1:9" x14ac:dyDescent="0.3">
      <c r="A1200">
        <v>8501</v>
      </c>
      <c r="B1200" t="s">
        <v>615</v>
      </c>
      <c r="C1200" t="s">
        <v>92</v>
      </c>
      <c r="D1200" t="s">
        <v>64</v>
      </c>
      <c r="E1200" t="s">
        <v>1064</v>
      </c>
      <c r="F1200" s="13">
        <v>3</v>
      </c>
      <c r="G1200" s="14">
        <v>2792.27</v>
      </c>
      <c r="H1200" s="13">
        <v>255</v>
      </c>
      <c r="I1200" t="s">
        <v>77</v>
      </c>
    </row>
    <row r="1201" spans="1:9" x14ac:dyDescent="0.3">
      <c r="A1201">
        <v>1858</v>
      </c>
      <c r="B1201" t="s">
        <v>1067</v>
      </c>
      <c r="C1201" t="s">
        <v>100</v>
      </c>
      <c r="D1201" t="s">
        <v>66</v>
      </c>
      <c r="E1201" t="s">
        <v>1068</v>
      </c>
      <c r="F1201" s="13">
        <v>3</v>
      </c>
      <c r="G1201" s="14">
        <v>3316.95</v>
      </c>
      <c r="H1201" s="13">
        <v>254</v>
      </c>
      <c r="I1201" t="s">
        <v>77</v>
      </c>
    </row>
    <row r="1202" spans="1:9" x14ac:dyDescent="0.3">
      <c r="A1202">
        <v>1928</v>
      </c>
      <c r="B1202" t="s">
        <v>280</v>
      </c>
      <c r="C1202" t="s">
        <v>249</v>
      </c>
      <c r="D1202" t="s">
        <v>67</v>
      </c>
      <c r="E1202" t="s">
        <v>1068</v>
      </c>
      <c r="F1202" s="13">
        <v>1</v>
      </c>
      <c r="G1202" s="14">
        <v>1269.1400000000001</v>
      </c>
      <c r="H1202" s="13">
        <v>254</v>
      </c>
      <c r="I1202" t="s">
        <v>77</v>
      </c>
    </row>
    <row r="1203" spans="1:9" x14ac:dyDescent="0.3">
      <c r="A1203">
        <v>2398</v>
      </c>
      <c r="B1203" t="s">
        <v>1069</v>
      </c>
      <c r="C1203" t="s">
        <v>133</v>
      </c>
      <c r="D1203" t="s">
        <v>64</v>
      </c>
      <c r="E1203" t="s">
        <v>1068</v>
      </c>
      <c r="F1203" s="13">
        <v>1</v>
      </c>
      <c r="G1203" s="14">
        <v>1541.75</v>
      </c>
      <c r="H1203" s="13">
        <v>254</v>
      </c>
      <c r="I1203" t="s">
        <v>77</v>
      </c>
    </row>
    <row r="1204" spans="1:9" x14ac:dyDescent="0.3">
      <c r="A1204">
        <v>2426</v>
      </c>
      <c r="B1204" t="s">
        <v>1070</v>
      </c>
      <c r="C1204" t="s">
        <v>97</v>
      </c>
      <c r="D1204" t="s">
        <v>65</v>
      </c>
      <c r="E1204" t="s">
        <v>1068</v>
      </c>
      <c r="F1204" s="13">
        <v>1</v>
      </c>
      <c r="G1204" s="14">
        <v>1219.18</v>
      </c>
      <c r="H1204" s="13">
        <v>254</v>
      </c>
      <c r="I1204" t="s">
        <v>77</v>
      </c>
    </row>
    <row r="1205" spans="1:9" x14ac:dyDescent="0.3">
      <c r="A1205">
        <v>3687</v>
      </c>
      <c r="B1205" t="s">
        <v>756</v>
      </c>
      <c r="C1205" t="s">
        <v>95</v>
      </c>
      <c r="D1205" t="s">
        <v>65</v>
      </c>
      <c r="E1205" t="s">
        <v>1068</v>
      </c>
      <c r="F1205" s="13">
        <v>1</v>
      </c>
      <c r="G1205" s="14">
        <v>345.88</v>
      </c>
      <c r="H1205" s="13">
        <v>254</v>
      </c>
      <c r="I1205" t="s">
        <v>77</v>
      </c>
    </row>
    <row r="1206" spans="1:9" x14ac:dyDescent="0.3">
      <c r="A1206">
        <v>4373</v>
      </c>
      <c r="B1206" t="s">
        <v>1071</v>
      </c>
      <c r="C1206" t="s">
        <v>92</v>
      </c>
      <c r="D1206" t="s">
        <v>64</v>
      </c>
      <c r="E1206" t="s">
        <v>1068</v>
      </c>
      <c r="F1206" s="13">
        <v>2</v>
      </c>
      <c r="G1206" s="14">
        <v>3827.6</v>
      </c>
      <c r="H1206" s="13">
        <v>254</v>
      </c>
      <c r="I1206" t="s">
        <v>77</v>
      </c>
    </row>
    <row r="1207" spans="1:9" x14ac:dyDescent="0.3">
      <c r="A1207">
        <v>3016</v>
      </c>
      <c r="B1207" t="s">
        <v>295</v>
      </c>
      <c r="C1207" t="s">
        <v>123</v>
      </c>
      <c r="D1207" t="s">
        <v>65</v>
      </c>
      <c r="E1207" t="s">
        <v>1072</v>
      </c>
      <c r="F1207" s="13">
        <v>1</v>
      </c>
      <c r="G1207" s="14">
        <v>4782.4799999999996</v>
      </c>
      <c r="H1207" s="13">
        <v>253</v>
      </c>
      <c r="I1207" t="s">
        <v>77</v>
      </c>
    </row>
    <row r="1208" spans="1:9" x14ac:dyDescent="0.3">
      <c r="A1208">
        <v>3981</v>
      </c>
      <c r="B1208" t="s">
        <v>694</v>
      </c>
      <c r="C1208" t="s">
        <v>90</v>
      </c>
      <c r="D1208" t="s">
        <v>66</v>
      </c>
      <c r="E1208" t="s">
        <v>1072</v>
      </c>
      <c r="F1208" s="13">
        <v>3</v>
      </c>
      <c r="G1208" s="14">
        <v>4829.24</v>
      </c>
      <c r="H1208" s="13">
        <v>253</v>
      </c>
      <c r="I1208" t="s">
        <v>77</v>
      </c>
    </row>
    <row r="1209" spans="1:9" x14ac:dyDescent="0.3">
      <c r="A1209">
        <v>4342</v>
      </c>
      <c r="B1209" t="s">
        <v>182</v>
      </c>
      <c r="C1209" t="s">
        <v>95</v>
      </c>
      <c r="D1209" t="s">
        <v>65</v>
      </c>
      <c r="E1209" t="s">
        <v>1072</v>
      </c>
      <c r="F1209" s="13">
        <v>1</v>
      </c>
      <c r="G1209" s="14">
        <v>1331.58</v>
      </c>
      <c r="H1209" s="13">
        <v>253</v>
      </c>
      <c r="I1209" t="s">
        <v>77</v>
      </c>
    </row>
    <row r="1210" spans="1:9" x14ac:dyDescent="0.3">
      <c r="A1210">
        <v>5575</v>
      </c>
      <c r="B1210" t="s">
        <v>1073</v>
      </c>
      <c r="C1210" t="s">
        <v>156</v>
      </c>
      <c r="D1210" t="s">
        <v>68</v>
      </c>
      <c r="E1210" t="s">
        <v>1072</v>
      </c>
      <c r="F1210" s="13">
        <v>1</v>
      </c>
      <c r="G1210" s="14">
        <v>3605.08</v>
      </c>
      <c r="H1210" s="13">
        <v>253</v>
      </c>
      <c r="I1210" t="s">
        <v>77</v>
      </c>
    </row>
    <row r="1211" spans="1:9" x14ac:dyDescent="0.3">
      <c r="A1211">
        <v>5627</v>
      </c>
      <c r="B1211" t="s">
        <v>348</v>
      </c>
      <c r="C1211" t="s">
        <v>133</v>
      </c>
      <c r="D1211" t="s">
        <v>64</v>
      </c>
      <c r="E1211" t="s">
        <v>1072</v>
      </c>
      <c r="F1211" s="13">
        <v>1</v>
      </c>
      <c r="G1211" s="14">
        <v>281.58</v>
      </c>
      <c r="H1211" s="13">
        <v>253</v>
      </c>
      <c r="I1211" t="s">
        <v>77</v>
      </c>
    </row>
    <row r="1212" spans="1:9" x14ac:dyDescent="0.3">
      <c r="A1212">
        <v>6558</v>
      </c>
      <c r="B1212" t="s">
        <v>323</v>
      </c>
      <c r="C1212" t="s">
        <v>123</v>
      </c>
      <c r="D1212" t="s">
        <v>65</v>
      </c>
      <c r="E1212" t="s">
        <v>1072</v>
      </c>
      <c r="F1212" s="13">
        <v>6</v>
      </c>
      <c r="G1212" s="14">
        <v>8825.19</v>
      </c>
      <c r="H1212" s="13">
        <v>253</v>
      </c>
      <c r="I1212" t="s">
        <v>77</v>
      </c>
    </row>
    <row r="1213" spans="1:9" x14ac:dyDescent="0.3">
      <c r="A1213">
        <v>8243</v>
      </c>
      <c r="B1213" t="s">
        <v>652</v>
      </c>
      <c r="C1213" t="s">
        <v>133</v>
      </c>
      <c r="D1213" t="s">
        <v>64</v>
      </c>
      <c r="E1213" t="s">
        <v>1072</v>
      </c>
      <c r="F1213" s="13">
        <v>2</v>
      </c>
      <c r="G1213" s="14">
        <v>1776.41</v>
      </c>
      <c r="H1213" s="13">
        <v>253</v>
      </c>
      <c r="I1213" t="s">
        <v>77</v>
      </c>
    </row>
    <row r="1214" spans="1:9" x14ac:dyDescent="0.3">
      <c r="A1214">
        <v>18</v>
      </c>
      <c r="B1214" t="s">
        <v>735</v>
      </c>
      <c r="C1214" t="s">
        <v>92</v>
      </c>
      <c r="D1214" t="s">
        <v>64</v>
      </c>
      <c r="E1214" t="s">
        <v>1074</v>
      </c>
      <c r="F1214" s="13">
        <v>2</v>
      </c>
      <c r="G1214" s="14">
        <v>7571.65</v>
      </c>
      <c r="H1214" s="13">
        <v>252</v>
      </c>
      <c r="I1214" t="s">
        <v>77</v>
      </c>
    </row>
    <row r="1215" spans="1:9" x14ac:dyDescent="0.3">
      <c r="A1215">
        <v>1154</v>
      </c>
      <c r="B1215" t="s">
        <v>259</v>
      </c>
      <c r="C1215" t="s">
        <v>133</v>
      </c>
      <c r="D1215" t="s">
        <v>64</v>
      </c>
      <c r="E1215" t="s">
        <v>1074</v>
      </c>
      <c r="F1215" s="13">
        <v>2</v>
      </c>
      <c r="G1215" s="14">
        <v>692.34</v>
      </c>
      <c r="H1215" s="13">
        <v>252</v>
      </c>
      <c r="I1215" t="s">
        <v>77</v>
      </c>
    </row>
    <row r="1216" spans="1:9" x14ac:dyDescent="0.3">
      <c r="A1216">
        <v>1670</v>
      </c>
      <c r="B1216" t="s">
        <v>323</v>
      </c>
      <c r="C1216" t="s">
        <v>137</v>
      </c>
      <c r="D1216" t="s">
        <v>64</v>
      </c>
      <c r="E1216" t="s">
        <v>1074</v>
      </c>
      <c r="F1216" s="13">
        <v>5</v>
      </c>
      <c r="G1216" s="14">
        <v>26072.53</v>
      </c>
      <c r="H1216" s="13">
        <v>252</v>
      </c>
      <c r="I1216" t="s">
        <v>77</v>
      </c>
    </row>
    <row r="1217" spans="1:9" x14ac:dyDescent="0.3">
      <c r="A1217">
        <v>3453</v>
      </c>
      <c r="B1217" t="s">
        <v>527</v>
      </c>
      <c r="C1217" t="s">
        <v>92</v>
      </c>
      <c r="D1217" t="s">
        <v>64</v>
      </c>
      <c r="E1217" t="s">
        <v>1074</v>
      </c>
      <c r="F1217" s="13">
        <v>2</v>
      </c>
      <c r="G1217" s="14">
        <v>6427.91</v>
      </c>
      <c r="H1217" s="13">
        <v>252</v>
      </c>
      <c r="I1217" t="s">
        <v>77</v>
      </c>
    </row>
    <row r="1218" spans="1:9" x14ac:dyDescent="0.3">
      <c r="A1218">
        <v>3685</v>
      </c>
      <c r="B1218" t="s">
        <v>264</v>
      </c>
      <c r="C1218" t="s">
        <v>90</v>
      </c>
      <c r="D1218" t="s">
        <v>66</v>
      </c>
      <c r="E1218" t="s">
        <v>1074</v>
      </c>
      <c r="F1218" s="13">
        <v>3</v>
      </c>
      <c r="G1218" s="14">
        <v>6116.22</v>
      </c>
      <c r="H1218" s="13">
        <v>252</v>
      </c>
      <c r="I1218" t="s">
        <v>77</v>
      </c>
    </row>
    <row r="1219" spans="1:9" x14ac:dyDescent="0.3">
      <c r="A1219">
        <v>4392</v>
      </c>
      <c r="B1219" t="s">
        <v>638</v>
      </c>
      <c r="C1219" t="s">
        <v>90</v>
      </c>
      <c r="D1219" t="s">
        <v>66</v>
      </c>
      <c r="E1219" t="s">
        <v>1074</v>
      </c>
      <c r="F1219" s="13">
        <v>1</v>
      </c>
      <c r="G1219" s="14">
        <v>441.66</v>
      </c>
      <c r="H1219" s="13">
        <v>252</v>
      </c>
      <c r="I1219" t="s">
        <v>77</v>
      </c>
    </row>
    <row r="1220" spans="1:9" x14ac:dyDescent="0.3">
      <c r="A1220">
        <v>6512</v>
      </c>
      <c r="B1220" t="s">
        <v>1075</v>
      </c>
      <c r="C1220" t="s">
        <v>100</v>
      </c>
      <c r="D1220" t="s">
        <v>66</v>
      </c>
      <c r="E1220" t="s">
        <v>1074</v>
      </c>
      <c r="F1220" s="13">
        <v>1</v>
      </c>
      <c r="G1220" s="14">
        <v>898.32</v>
      </c>
      <c r="H1220" s="13">
        <v>252</v>
      </c>
      <c r="I1220" t="s">
        <v>77</v>
      </c>
    </row>
    <row r="1221" spans="1:9" x14ac:dyDescent="0.3">
      <c r="A1221">
        <v>433</v>
      </c>
      <c r="B1221" t="s">
        <v>1076</v>
      </c>
      <c r="C1221" t="s">
        <v>92</v>
      </c>
      <c r="D1221" t="s">
        <v>64</v>
      </c>
      <c r="E1221" t="s">
        <v>1077</v>
      </c>
      <c r="F1221" s="13">
        <v>1</v>
      </c>
      <c r="G1221" s="14">
        <v>195.05</v>
      </c>
      <c r="H1221" s="13">
        <v>251</v>
      </c>
      <c r="I1221" t="s">
        <v>77</v>
      </c>
    </row>
    <row r="1222" spans="1:9" x14ac:dyDescent="0.3">
      <c r="A1222">
        <v>1298</v>
      </c>
      <c r="B1222" t="s">
        <v>1078</v>
      </c>
      <c r="C1222" t="s">
        <v>137</v>
      </c>
      <c r="D1222" t="s">
        <v>64</v>
      </c>
      <c r="E1222" t="s">
        <v>1077</v>
      </c>
      <c r="F1222" s="13">
        <v>2</v>
      </c>
      <c r="G1222" s="14">
        <v>4381.33</v>
      </c>
      <c r="H1222" s="13">
        <v>251</v>
      </c>
      <c r="I1222" t="s">
        <v>77</v>
      </c>
    </row>
    <row r="1223" spans="1:9" x14ac:dyDescent="0.3">
      <c r="A1223">
        <v>3309</v>
      </c>
      <c r="B1223" t="s">
        <v>240</v>
      </c>
      <c r="C1223" t="s">
        <v>123</v>
      </c>
      <c r="D1223" t="s">
        <v>65</v>
      </c>
      <c r="E1223" t="s">
        <v>1077</v>
      </c>
      <c r="F1223" s="13">
        <v>6</v>
      </c>
      <c r="G1223" s="14">
        <v>11324.38</v>
      </c>
      <c r="H1223" s="13">
        <v>251</v>
      </c>
      <c r="I1223" t="s">
        <v>77</v>
      </c>
    </row>
    <row r="1224" spans="1:9" x14ac:dyDescent="0.3">
      <c r="A1224">
        <v>3705</v>
      </c>
      <c r="B1224" t="s">
        <v>1079</v>
      </c>
      <c r="C1224" t="s">
        <v>249</v>
      </c>
      <c r="D1224" t="s">
        <v>67</v>
      </c>
      <c r="E1224" t="s">
        <v>1077</v>
      </c>
      <c r="F1224" s="13">
        <v>1</v>
      </c>
      <c r="G1224" s="14">
        <v>3420.43</v>
      </c>
      <c r="H1224" s="13">
        <v>251</v>
      </c>
      <c r="I1224" t="s">
        <v>77</v>
      </c>
    </row>
    <row r="1225" spans="1:9" x14ac:dyDescent="0.3">
      <c r="A1225">
        <v>6813</v>
      </c>
      <c r="B1225" t="s">
        <v>1080</v>
      </c>
      <c r="C1225" t="s">
        <v>103</v>
      </c>
      <c r="D1225" t="s">
        <v>67</v>
      </c>
      <c r="E1225" t="s">
        <v>1077</v>
      </c>
      <c r="F1225" s="13">
        <v>4</v>
      </c>
      <c r="G1225" s="14">
        <v>3287.57</v>
      </c>
      <c r="H1225" s="13">
        <v>251</v>
      </c>
      <c r="I1225" t="s">
        <v>77</v>
      </c>
    </row>
    <row r="1226" spans="1:9" x14ac:dyDescent="0.3">
      <c r="A1226">
        <v>7481</v>
      </c>
      <c r="B1226" t="s">
        <v>371</v>
      </c>
      <c r="C1226" t="s">
        <v>87</v>
      </c>
      <c r="D1226" t="s">
        <v>64</v>
      </c>
      <c r="E1226" t="s">
        <v>1077</v>
      </c>
      <c r="F1226" s="13">
        <v>1</v>
      </c>
      <c r="G1226" s="14">
        <v>5639.55</v>
      </c>
      <c r="H1226" s="13">
        <v>251</v>
      </c>
      <c r="I1226" t="s">
        <v>77</v>
      </c>
    </row>
    <row r="1227" spans="1:9" x14ac:dyDescent="0.3">
      <c r="A1227">
        <v>95</v>
      </c>
      <c r="B1227" t="s">
        <v>448</v>
      </c>
      <c r="C1227" t="s">
        <v>92</v>
      </c>
      <c r="D1227" t="s">
        <v>64</v>
      </c>
      <c r="E1227" t="s">
        <v>1081</v>
      </c>
      <c r="F1227" s="13">
        <v>2</v>
      </c>
      <c r="G1227" s="14">
        <v>3969.73</v>
      </c>
      <c r="H1227" s="13">
        <v>250</v>
      </c>
      <c r="I1227" t="s">
        <v>77</v>
      </c>
    </row>
    <row r="1228" spans="1:9" x14ac:dyDescent="0.3">
      <c r="A1228">
        <v>1071</v>
      </c>
      <c r="B1228" t="s">
        <v>1082</v>
      </c>
      <c r="C1228" t="s">
        <v>114</v>
      </c>
      <c r="D1228" t="s">
        <v>66</v>
      </c>
      <c r="E1228" t="s">
        <v>1081</v>
      </c>
      <c r="F1228" s="13">
        <v>1</v>
      </c>
      <c r="G1228" s="14">
        <v>288.92</v>
      </c>
      <c r="H1228" s="13">
        <v>250</v>
      </c>
      <c r="I1228" t="s">
        <v>77</v>
      </c>
    </row>
    <row r="1229" spans="1:9" x14ac:dyDescent="0.3">
      <c r="A1229">
        <v>2974</v>
      </c>
      <c r="B1229" t="s">
        <v>1083</v>
      </c>
      <c r="C1229" t="s">
        <v>133</v>
      </c>
      <c r="D1229" t="s">
        <v>64</v>
      </c>
      <c r="E1229" t="s">
        <v>1081</v>
      </c>
      <c r="F1229" s="13">
        <v>1</v>
      </c>
      <c r="G1229" s="14">
        <v>683.86</v>
      </c>
      <c r="H1229" s="13">
        <v>250</v>
      </c>
      <c r="I1229" t="s">
        <v>77</v>
      </c>
    </row>
    <row r="1230" spans="1:9" x14ac:dyDescent="0.3">
      <c r="A1230">
        <v>4853</v>
      </c>
      <c r="B1230" t="s">
        <v>1084</v>
      </c>
      <c r="C1230" t="s">
        <v>97</v>
      </c>
      <c r="D1230" t="s">
        <v>65</v>
      </c>
      <c r="E1230" t="s">
        <v>1081</v>
      </c>
      <c r="F1230" s="13">
        <v>1</v>
      </c>
      <c r="G1230" s="14">
        <v>1609.18</v>
      </c>
      <c r="H1230" s="13">
        <v>250</v>
      </c>
      <c r="I1230" t="s">
        <v>77</v>
      </c>
    </row>
    <row r="1231" spans="1:9" x14ac:dyDescent="0.3">
      <c r="A1231">
        <v>5179</v>
      </c>
      <c r="B1231" t="s">
        <v>509</v>
      </c>
      <c r="C1231" t="s">
        <v>92</v>
      </c>
      <c r="D1231" t="s">
        <v>64</v>
      </c>
      <c r="E1231" t="s">
        <v>1081</v>
      </c>
      <c r="F1231" s="13">
        <v>2</v>
      </c>
      <c r="G1231" s="14">
        <v>8359.98</v>
      </c>
      <c r="H1231" s="13">
        <v>250</v>
      </c>
      <c r="I1231" t="s">
        <v>77</v>
      </c>
    </row>
    <row r="1232" spans="1:9" x14ac:dyDescent="0.3">
      <c r="A1232">
        <v>5334</v>
      </c>
      <c r="B1232" t="s">
        <v>1085</v>
      </c>
      <c r="C1232" t="s">
        <v>121</v>
      </c>
      <c r="D1232" t="s">
        <v>67</v>
      </c>
      <c r="E1232" t="s">
        <v>1081</v>
      </c>
      <c r="F1232" s="13">
        <v>1</v>
      </c>
      <c r="G1232" s="14">
        <v>424.72</v>
      </c>
      <c r="H1232" s="13">
        <v>250</v>
      </c>
      <c r="I1232" t="s">
        <v>77</v>
      </c>
    </row>
    <row r="1233" spans="1:9" x14ac:dyDescent="0.3">
      <c r="A1233">
        <v>6552</v>
      </c>
      <c r="B1233" t="s">
        <v>318</v>
      </c>
      <c r="C1233" t="s">
        <v>137</v>
      </c>
      <c r="D1233" t="s">
        <v>64</v>
      </c>
      <c r="E1233" t="s">
        <v>1081</v>
      </c>
      <c r="F1233" s="13">
        <v>4</v>
      </c>
      <c r="G1233" s="14">
        <v>4774.88</v>
      </c>
      <c r="H1233" s="13">
        <v>250</v>
      </c>
      <c r="I1233" t="s">
        <v>77</v>
      </c>
    </row>
    <row r="1234" spans="1:9" x14ac:dyDescent="0.3">
      <c r="A1234">
        <v>6720</v>
      </c>
      <c r="B1234" t="s">
        <v>641</v>
      </c>
      <c r="C1234" t="s">
        <v>123</v>
      </c>
      <c r="D1234" t="s">
        <v>65</v>
      </c>
      <c r="E1234" t="s">
        <v>1081</v>
      </c>
      <c r="F1234" s="13">
        <v>1</v>
      </c>
      <c r="G1234" s="14">
        <v>674.55</v>
      </c>
      <c r="H1234" s="13">
        <v>250</v>
      </c>
      <c r="I1234" t="s">
        <v>77</v>
      </c>
    </row>
    <row r="1235" spans="1:9" x14ac:dyDescent="0.3">
      <c r="A1235">
        <v>786</v>
      </c>
      <c r="B1235" t="s">
        <v>1086</v>
      </c>
      <c r="C1235" t="s">
        <v>100</v>
      </c>
      <c r="D1235" t="s">
        <v>66</v>
      </c>
      <c r="E1235" t="s">
        <v>1087</v>
      </c>
      <c r="F1235" s="13">
        <v>1</v>
      </c>
      <c r="G1235" s="14">
        <v>1747.37</v>
      </c>
      <c r="H1235" s="13">
        <v>249</v>
      </c>
      <c r="I1235" t="s">
        <v>77</v>
      </c>
    </row>
    <row r="1236" spans="1:9" x14ac:dyDescent="0.3">
      <c r="A1236">
        <v>900</v>
      </c>
      <c r="B1236" t="s">
        <v>313</v>
      </c>
      <c r="C1236" t="s">
        <v>92</v>
      </c>
      <c r="D1236" t="s">
        <v>64</v>
      </c>
      <c r="E1236" t="s">
        <v>1087</v>
      </c>
      <c r="F1236" s="13">
        <v>2</v>
      </c>
      <c r="G1236" s="14">
        <v>4324.07</v>
      </c>
      <c r="H1236" s="13">
        <v>249</v>
      </c>
      <c r="I1236" t="s">
        <v>77</v>
      </c>
    </row>
    <row r="1237" spans="1:9" x14ac:dyDescent="0.3">
      <c r="A1237">
        <v>905</v>
      </c>
      <c r="B1237" t="s">
        <v>163</v>
      </c>
      <c r="C1237" t="s">
        <v>123</v>
      </c>
      <c r="D1237" t="s">
        <v>65</v>
      </c>
      <c r="E1237" t="s">
        <v>1087</v>
      </c>
      <c r="F1237" s="13">
        <v>1</v>
      </c>
      <c r="G1237" s="14">
        <v>2781.51</v>
      </c>
      <c r="H1237" s="13">
        <v>249</v>
      </c>
      <c r="I1237" t="s">
        <v>77</v>
      </c>
    </row>
    <row r="1238" spans="1:9" x14ac:dyDescent="0.3">
      <c r="A1238">
        <v>3284</v>
      </c>
      <c r="B1238" t="s">
        <v>1088</v>
      </c>
      <c r="C1238" t="s">
        <v>103</v>
      </c>
      <c r="D1238" t="s">
        <v>67</v>
      </c>
      <c r="E1238" t="s">
        <v>1087</v>
      </c>
      <c r="F1238" s="13">
        <v>1</v>
      </c>
      <c r="G1238" s="14">
        <v>93.11</v>
      </c>
      <c r="H1238" s="13">
        <v>249</v>
      </c>
      <c r="I1238" t="s">
        <v>77</v>
      </c>
    </row>
    <row r="1239" spans="1:9" x14ac:dyDescent="0.3">
      <c r="A1239">
        <v>4145</v>
      </c>
      <c r="B1239" t="s">
        <v>568</v>
      </c>
      <c r="C1239" t="s">
        <v>92</v>
      </c>
      <c r="D1239" t="s">
        <v>64</v>
      </c>
      <c r="E1239" t="s">
        <v>1087</v>
      </c>
      <c r="F1239" s="13">
        <v>3</v>
      </c>
      <c r="G1239" s="14">
        <v>1807.28</v>
      </c>
      <c r="H1239" s="13">
        <v>249</v>
      </c>
      <c r="I1239" t="s">
        <v>77</v>
      </c>
    </row>
    <row r="1240" spans="1:9" x14ac:dyDescent="0.3">
      <c r="A1240">
        <v>4530</v>
      </c>
      <c r="B1240" t="s">
        <v>1089</v>
      </c>
      <c r="C1240" t="s">
        <v>95</v>
      </c>
      <c r="D1240" t="s">
        <v>65</v>
      </c>
      <c r="E1240" t="s">
        <v>1087</v>
      </c>
      <c r="F1240" s="13">
        <v>3</v>
      </c>
      <c r="G1240" s="14">
        <v>11147.18</v>
      </c>
      <c r="H1240" s="13">
        <v>249</v>
      </c>
      <c r="I1240" t="s">
        <v>77</v>
      </c>
    </row>
    <row r="1241" spans="1:9" x14ac:dyDescent="0.3">
      <c r="A1241">
        <v>8539</v>
      </c>
      <c r="B1241" t="s">
        <v>1090</v>
      </c>
      <c r="C1241" t="s">
        <v>133</v>
      </c>
      <c r="D1241" t="s">
        <v>64</v>
      </c>
      <c r="E1241" t="s">
        <v>1087</v>
      </c>
      <c r="F1241" s="13">
        <v>1</v>
      </c>
      <c r="G1241" s="14">
        <v>1390.85</v>
      </c>
      <c r="H1241" s="13">
        <v>249</v>
      </c>
      <c r="I1241" t="s">
        <v>77</v>
      </c>
    </row>
    <row r="1242" spans="1:9" x14ac:dyDescent="0.3">
      <c r="A1242">
        <v>154</v>
      </c>
      <c r="B1242" t="s">
        <v>1091</v>
      </c>
      <c r="C1242" t="s">
        <v>137</v>
      </c>
      <c r="D1242" t="s">
        <v>64</v>
      </c>
      <c r="E1242" t="s">
        <v>1092</v>
      </c>
      <c r="F1242" s="13">
        <v>1</v>
      </c>
      <c r="G1242" s="14">
        <v>373.7</v>
      </c>
      <c r="H1242" s="13">
        <v>248</v>
      </c>
      <c r="I1242" t="s">
        <v>77</v>
      </c>
    </row>
    <row r="1243" spans="1:9" x14ac:dyDescent="0.3">
      <c r="A1243">
        <v>328</v>
      </c>
      <c r="B1243" t="s">
        <v>264</v>
      </c>
      <c r="C1243" t="s">
        <v>90</v>
      </c>
      <c r="D1243" t="s">
        <v>66</v>
      </c>
      <c r="E1243" t="s">
        <v>1092</v>
      </c>
      <c r="F1243" s="13">
        <v>3</v>
      </c>
      <c r="G1243" s="14">
        <v>1623.45</v>
      </c>
      <c r="H1243" s="13">
        <v>248</v>
      </c>
      <c r="I1243" t="s">
        <v>77</v>
      </c>
    </row>
    <row r="1244" spans="1:9" x14ac:dyDescent="0.3">
      <c r="A1244">
        <v>2242</v>
      </c>
      <c r="B1244" t="s">
        <v>293</v>
      </c>
      <c r="C1244" t="s">
        <v>137</v>
      </c>
      <c r="D1244" t="s">
        <v>64</v>
      </c>
      <c r="E1244" t="s">
        <v>1092</v>
      </c>
      <c r="F1244" s="13">
        <v>2</v>
      </c>
      <c r="G1244" s="14">
        <v>8132.46</v>
      </c>
      <c r="H1244" s="13">
        <v>248</v>
      </c>
      <c r="I1244" t="s">
        <v>77</v>
      </c>
    </row>
    <row r="1245" spans="1:9" x14ac:dyDescent="0.3">
      <c r="A1245">
        <v>3648</v>
      </c>
      <c r="B1245" t="s">
        <v>543</v>
      </c>
      <c r="C1245" t="s">
        <v>92</v>
      </c>
      <c r="D1245" t="s">
        <v>64</v>
      </c>
      <c r="E1245" t="s">
        <v>1092</v>
      </c>
      <c r="F1245" s="13">
        <v>2</v>
      </c>
      <c r="G1245" s="14">
        <v>3219.98</v>
      </c>
      <c r="H1245" s="13">
        <v>248</v>
      </c>
      <c r="I1245" t="s">
        <v>77</v>
      </c>
    </row>
    <row r="1246" spans="1:9" x14ac:dyDescent="0.3">
      <c r="A1246">
        <v>4130</v>
      </c>
      <c r="B1246" t="s">
        <v>449</v>
      </c>
      <c r="C1246" t="s">
        <v>92</v>
      </c>
      <c r="D1246" t="s">
        <v>64</v>
      </c>
      <c r="E1246" t="s">
        <v>1092</v>
      </c>
      <c r="F1246" s="13">
        <v>1</v>
      </c>
      <c r="G1246" s="14">
        <v>295.82</v>
      </c>
      <c r="H1246" s="13">
        <v>248</v>
      </c>
      <c r="I1246" t="s">
        <v>77</v>
      </c>
    </row>
    <row r="1247" spans="1:9" x14ac:dyDescent="0.3">
      <c r="A1247">
        <v>4293</v>
      </c>
      <c r="B1247" t="s">
        <v>163</v>
      </c>
      <c r="C1247" t="s">
        <v>97</v>
      </c>
      <c r="D1247" t="s">
        <v>65</v>
      </c>
      <c r="E1247" t="s">
        <v>1092</v>
      </c>
      <c r="F1247" s="13">
        <v>1</v>
      </c>
      <c r="G1247" s="14">
        <v>1954.26</v>
      </c>
      <c r="H1247" s="13">
        <v>248</v>
      </c>
      <c r="I1247" t="s">
        <v>77</v>
      </c>
    </row>
    <row r="1248" spans="1:9" x14ac:dyDescent="0.3">
      <c r="A1248">
        <v>6004</v>
      </c>
      <c r="B1248" t="s">
        <v>1093</v>
      </c>
      <c r="C1248" t="s">
        <v>137</v>
      </c>
      <c r="D1248" t="s">
        <v>64</v>
      </c>
      <c r="E1248" t="s">
        <v>1092</v>
      </c>
      <c r="F1248" s="13">
        <v>2</v>
      </c>
      <c r="G1248" s="14">
        <v>1113.05</v>
      </c>
      <c r="H1248" s="13">
        <v>248</v>
      </c>
      <c r="I1248" t="s">
        <v>77</v>
      </c>
    </row>
    <row r="1249" spans="1:9" x14ac:dyDescent="0.3">
      <c r="A1249">
        <v>6222</v>
      </c>
      <c r="B1249" t="s">
        <v>120</v>
      </c>
      <c r="C1249" t="s">
        <v>100</v>
      </c>
      <c r="D1249" t="s">
        <v>66</v>
      </c>
      <c r="E1249" t="s">
        <v>1092</v>
      </c>
      <c r="F1249" s="13">
        <v>1</v>
      </c>
      <c r="G1249" s="14">
        <v>89.49</v>
      </c>
      <c r="H1249" s="13">
        <v>248</v>
      </c>
      <c r="I1249" t="s">
        <v>77</v>
      </c>
    </row>
    <row r="1250" spans="1:9" x14ac:dyDescent="0.3">
      <c r="A1250">
        <v>7314</v>
      </c>
      <c r="B1250" t="s">
        <v>1094</v>
      </c>
      <c r="C1250" t="s">
        <v>92</v>
      </c>
      <c r="D1250" t="s">
        <v>64</v>
      </c>
      <c r="E1250" t="s">
        <v>1092</v>
      </c>
      <c r="F1250" s="13">
        <v>1</v>
      </c>
      <c r="G1250" s="14">
        <v>1227.5899999999999</v>
      </c>
      <c r="H1250" s="13">
        <v>248</v>
      </c>
      <c r="I1250" t="s">
        <v>77</v>
      </c>
    </row>
    <row r="1251" spans="1:9" x14ac:dyDescent="0.3">
      <c r="A1251">
        <v>8641</v>
      </c>
      <c r="B1251" t="s">
        <v>1095</v>
      </c>
      <c r="C1251" t="s">
        <v>123</v>
      </c>
      <c r="D1251" t="s">
        <v>65</v>
      </c>
      <c r="E1251" t="s">
        <v>1092</v>
      </c>
      <c r="F1251" s="13">
        <v>2</v>
      </c>
      <c r="G1251" s="14">
        <v>2915.44</v>
      </c>
      <c r="H1251" s="13">
        <v>248</v>
      </c>
      <c r="I1251" t="s">
        <v>77</v>
      </c>
    </row>
    <row r="1252" spans="1:9" x14ac:dyDescent="0.3">
      <c r="A1252">
        <v>107</v>
      </c>
      <c r="B1252" t="s">
        <v>638</v>
      </c>
      <c r="C1252" t="s">
        <v>133</v>
      </c>
      <c r="D1252" t="s">
        <v>64</v>
      </c>
      <c r="E1252" t="s">
        <v>1096</v>
      </c>
      <c r="F1252" s="13">
        <v>1</v>
      </c>
      <c r="G1252" s="14">
        <v>109.68</v>
      </c>
      <c r="H1252" s="13">
        <v>247</v>
      </c>
      <c r="I1252" t="s">
        <v>77</v>
      </c>
    </row>
    <row r="1253" spans="1:9" x14ac:dyDescent="0.3">
      <c r="A1253">
        <v>283</v>
      </c>
      <c r="B1253" t="s">
        <v>1097</v>
      </c>
      <c r="C1253" t="s">
        <v>97</v>
      </c>
      <c r="D1253" t="s">
        <v>65</v>
      </c>
      <c r="E1253" t="s">
        <v>1096</v>
      </c>
      <c r="F1253" s="13">
        <v>1</v>
      </c>
      <c r="G1253" s="14">
        <v>260.38</v>
      </c>
      <c r="H1253" s="13">
        <v>247</v>
      </c>
      <c r="I1253" t="s">
        <v>77</v>
      </c>
    </row>
    <row r="1254" spans="1:9" x14ac:dyDescent="0.3">
      <c r="A1254">
        <v>3955</v>
      </c>
      <c r="B1254" t="s">
        <v>94</v>
      </c>
      <c r="C1254" t="s">
        <v>97</v>
      </c>
      <c r="D1254" t="s">
        <v>65</v>
      </c>
      <c r="E1254" t="s">
        <v>1096</v>
      </c>
      <c r="F1254" s="13">
        <v>4</v>
      </c>
      <c r="G1254" s="14">
        <v>24900.02</v>
      </c>
      <c r="H1254" s="13">
        <v>247</v>
      </c>
      <c r="I1254" t="s">
        <v>77</v>
      </c>
    </row>
    <row r="1255" spans="1:9" x14ac:dyDescent="0.3">
      <c r="A1255">
        <v>5412</v>
      </c>
      <c r="B1255" t="s">
        <v>965</v>
      </c>
      <c r="C1255" t="s">
        <v>95</v>
      </c>
      <c r="D1255" t="s">
        <v>65</v>
      </c>
      <c r="E1255" t="s">
        <v>1096</v>
      </c>
      <c r="F1255" s="13">
        <v>1</v>
      </c>
      <c r="G1255" s="14">
        <v>1716.06</v>
      </c>
      <c r="H1255" s="13">
        <v>247</v>
      </c>
      <c r="I1255" t="s">
        <v>77</v>
      </c>
    </row>
    <row r="1256" spans="1:9" x14ac:dyDescent="0.3">
      <c r="A1256">
        <v>6544</v>
      </c>
      <c r="B1256" t="s">
        <v>1098</v>
      </c>
      <c r="C1256" t="s">
        <v>133</v>
      </c>
      <c r="D1256" t="s">
        <v>64</v>
      </c>
      <c r="E1256" t="s">
        <v>1096</v>
      </c>
      <c r="F1256" s="13">
        <v>1</v>
      </c>
      <c r="G1256" s="14">
        <v>93.05</v>
      </c>
      <c r="H1256" s="13">
        <v>247</v>
      </c>
      <c r="I1256" t="s">
        <v>77</v>
      </c>
    </row>
    <row r="1257" spans="1:9" x14ac:dyDescent="0.3">
      <c r="A1257">
        <v>1143</v>
      </c>
      <c r="B1257" t="s">
        <v>1099</v>
      </c>
      <c r="C1257" t="s">
        <v>133</v>
      </c>
      <c r="D1257" t="s">
        <v>64</v>
      </c>
      <c r="E1257" t="s">
        <v>1100</v>
      </c>
      <c r="F1257" s="13">
        <v>3</v>
      </c>
      <c r="G1257" s="14">
        <v>10762.55</v>
      </c>
      <c r="H1257" s="13">
        <v>246</v>
      </c>
      <c r="I1257" t="s">
        <v>77</v>
      </c>
    </row>
    <row r="1258" spans="1:9" x14ac:dyDescent="0.3">
      <c r="A1258">
        <v>1463</v>
      </c>
      <c r="B1258" t="s">
        <v>1101</v>
      </c>
      <c r="C1258" t="s">
        <v>95</v>
      </c>
      <c r="D1258" t="s">
        <v>65</v>
      </c>
      <c r="E1258" t="s">
        <v>1100</v>
      </c>
      <c r="F1258" s="13">
        <v>4</v>
      </c>
      <c r="G1258" s="14">
        <v>5691.95</v>
      </c>
      <c r="H1258" s="13">
        <v>246</v>
      </c>
      <c r="I1258" t="s">
        <v>77</v>
      </c>
    </row>
    <row r="1259" spans="1:9" x14ac:dyDescent="0.3">
      <c r="A1259">
        <v>3156</v>
      </c>
      <c r="B1259" t="s">
        <v>1102</v>
      </c>
      <c r="C1259" t="s">
        <v>92</v>
      </c>
      <c r="D1259" t="s">
        <v>64</v>
      </c>
      <c r="E1259" t="s">
        <v>1100</v>
      </c>
      <c r="F1259" s="13">
        <v>4</v>
      </c>
      <c r="G1259" s="14">
        <v>4762.7</v>
      </c>
      <c r="H1259" s="13">
        <v>246</v>
      </c>
      <c r="I1259" t="s">
        <v>77</v>
      </c>
    </row>
    <row r="1260" spans="1:9" x14ac:dyDescent="0.3">
      <c r="A1260">
        <v>3663</v>
      </c>
      <c r="B1260" t="s">
        <v>1103</v>
      </c>
      <c r="C1260" t="s">
        <v>121</v>
      </c>
      <c r="D1260" t="s">
        <v>67</v>
      </c>
      <c r="E1260" t="s">
        <v>1100</v>
      </c>
      <c r="F1260" s="13">
        <v>1</v>
      </c>
      <c r="G1260" s="14">
        <v>309.86</v>
      </c>
      <c r="H1260" s="13">
        <v>246</v>
      </c>
      <c r="I1260" t="s">
        <v>77</v>
      </c>
    </row>
    <row r="1261" spans="1:9" x14ac:dyDescent="0.3">
      <c r="A1261">
        <v>3843</v>
      </c>
      <c r="B1261" t="s">
        <v>1104</v>
      </c>
      <c r="C1261" t="s">
        <v>92</v>
      </c>
      <c r="D1261" t="s">
        <v>64</v>
      </c>
      <c r="E1261" t="s">
        <v>1100</v>
      </c>
      <c r="F1261" s="13">
        <v>1</v>
      </c>
      <c r="G1261" s="14">
        <v>133.66999999999999</v>
      </c>
      <c r="H1261" s="13">
        <v>246</v>
      </c>
      <c r="I1261" t="s">
        <v>77</v>
      </c>
    </row>
    <row r="1262" spans="1:9" x14ac:dyDescent="0.3">
      <c r="A1262">
        <v>5108</v>
      </c>
      <c r="B1262" t="s">
        <v>641</v>
      </c>
      <c r="C1262" t="s">
        <v>100</v>
      </c>
      <c r="D1262" t="s">
        <v>66</v>
      </c>
      <c r="E1262" t="s">
        <v>1100</v>
      </c>
      <c r="F1262" s="13">
        <v>2</v>
      </c>
      <c r="G1262" s="14">
        <v>4027.68</v>
      </c>
      <c r="H1262" s="13">
        <v>246</v>
      </c>
      <c r="I1262" t="s">
        <v>77</v>
      </c>
    </row>
    <row r="1263" spans="1:9" x14ac:dyDescent="0.3">
      <c r="A1263">
        <v>5727</v>
      </c>
      <c r="B1263" t="s">
        <v>205</v>
      </c>
      <c r="C1263" t="s">
        <v>92</v>
      </c>
      <c r="D1263" t="s">
        <v>64</v>
      </c>
      <c r="E1263" t="s">
        <v>1100</v>
      </c>
      <c r="F1263" s="13">
        <v>1</v>
      </c>
      <c r="G1263" s="14">
        <v>2101.17</v>
      </c>
      <c r="H1263" s="13">
        <v>246</v>
      </c>
      <c r="I1263" t="s">
        <v>77</v>
      </c>
    </row>
    <row r="1264" spans="1:9" x14ac:dyDescent="0.3">
      <c r="A1264">
        <v>6193</v>
      </c>
      <c r="B1264" t="s">
        <v>1105</v>
      </c>
      <c r="C1264" t="s">
        <v>137</v>
      </c>
      <c r="D1264" t="s">
        <v>64</v>
      </c>
      <c r="E1264" t="s">
        <v>1100</v>
      </c>
      <c r="F1264" s="13">
        <v>1</v>
      </c>
      <c r="G1264" s="14">
        <v>275.91000000000003</v>
      </c>
      <c r="H1264" s="13">
        <v>246</v>
      </c>
      <c r="I1264" t="s">
        <v>77</v>
      </c>
    </row>
    <row r="1265" spans="1:9" x14ac:dyDescent="0.3">
      <c r="A1265">
        <v>7666</v>
      </c>
      <c r="B1265" t="s">
        <v>208</v>
      </c>
      <c r="C1265" t="s">
        <v>92</v>
      </c>
      <c r="D1265" t="s">
        <v>64</v>
      </c>
      <c r="E1265" t="s">
        <v>1100</v>
      </c>
      <c r="F1265" s="13">
        <v>2</v>
      </c>
      <c r="G1265" s="14">
        <v>6611.57</v>
      </c>
      <c r="H1265" s="13">
        <v>246</v>
      </c>
      <c r="I1265" t="s">
        <v>77</v>
      </c>
    </row>
    <row r="1266" spans="1:9" x14ac:dyDescent="0.3">
      <c r="A1266">
        <v>7815</v>
      </c>
      <c r="B1266" t="s">
        <v>519</v>
      </c>
      <c r="C1266" t="s">
        <v>123</v>
      </c>
      <c r="D1266" t="s">
        <v>65</v>
      </c>
      <c r="E1266" t="s">
        <v>1100</v>
      </c>
      <c r="F1266" s="13">
        <v>2</v>
      </c>
      <c r="G1266" s="14">
        <v>1449.71</v>
      </c>
      <c r="H1266" s="13">
        <v>246</v>
      </c>
      <c r="I1266" t="s">
        <v>77</v>
      </c>
    </row>
    <row r="1267" spans="1:9" x14ac:dyDescent="0.3">
      <c r="A1267">
        <v>8302</v>
      </c>
      <c r="B1267" t="s">
        <v>1089</v>
      </c>
      <c r="C1267" t="s">
        <v>92</v>
      </c>
      <c r="D1267" t="s">
        <v>64</v>
      </c>
      <c r="E1267" t="s">
        <v>1100</v>
      </c>
      <c r="F1267" s="13">
        <v>1</v>
      </c>
      <c r="G1267" s="14">
        <v>5051.57</v>
      </c>
      <c r="H1267" s="13">
        <v>246</v>
      </c>
      <c r="I1267" t="s">
        <v>77</v>
      </c>
    </row>
    <row r="1268" spans="1:9" x14ac:dyDescent="0.3">
      <c r="A1268">
        <v>537</v>
      </c>
      <c r="B1268" t="s">
        <v>1106</v>
      </c>
      <c r="C1268" t="s">
        <v>123</v>
      </c>
      <c r="D1268" t="s">
        <v>65</v>
      </c>
      <c r="E1268" t="s">
        <v>1107</v>
      </c>
      <c r="F1268" s="13">
        <v>3</v>
      </c>
      <c r="G1268" s="14">
        <v>5967.13</v>
      </c>
      <c r="H1268" s="13">
        <v>245</v>
      </c>
      <c r="I1268" t="s">
        <v>77</v>
      </c>
    </row>
    <row r="1269" spans="1:9" x14ac:dyDescent="0.3">
      <c r="A1269">
        <v>1728</v>
      </c>
      <c r="B1269" t="s">
        <v>346</v>
      </c>
      <c r="C1269" t="s">
        <v>137</v>
      </c>
      <c r="D1269" t="s">
        <v>64</v>
      </c>
      <c r="E1269" t="s">
        <v>1107</v>
      </c>
      <c r="F1269" s="13">
        <v>4</v>
      </c>
      <c r="G1269" s="14">
        <v>8206.25</v>
      </c>
      <c r="H1269" s="13">
        <v>245</v>
      </c>
      <c r="I1269" t="s">
        <v>77</v>
      </c>
    </row>
    <row r="1270" spans="1:9" x14ac:dyDescent="0.3">
      <c r="A1270">
        <v>2722</v>
      </c>
      <c r="B1270" t="s">
        <v>1108</v>
      </c>
      <c r="C1270" t="s">
        <v>137</v>
      </c>
      <c r="D1270" t="s">
        <v>64</v>
      </c>
      <c r="E1270" t="s">
        <v>1107</v>
      </c>
      <c r="F1270" s="13">
        <v>1</v>
      </c>
      <c r="G1270" s="14">
        <v>1977.44</v>
      </c>
      <c r="H1270" s="13">
        <v>245</v>
      </c>
      <c r="I1270" t="s">
        <v>77</v>
      </c>
    </row>
    <row r="1271" spans="1:9" x14ac:dyDescent="0.3">
      <c r="A1271">
        <v>3879</v>
      </c>
      <c r="B1271" t="s">
        <v>1109</v>
      </c>
      <c r="C1271" t="s">
        <v>92</v>
      </c>
      <c r="D1271" t="s">
        <v>64</v>
      </c>
      <c r="E1271" t="s">
        <v>1107</v>
      </c>
      <c r="F1271" s="13">
        <v>4</v>
      </c>
      <c r="G1271" s="14">
        <v>7043.65</v>
      </c>
      <c r="H1271" s="13">
        <v>245</v>
      </c>
      <c r="I1271" t="s">
        <v>77</v>
      </c>
    </row>
    <row r="1272" spans="1:9" x14ac:dyDescent="0.3">
      <c r="A1272">
        <v>4893</v>
      </c>
      <c r="B1272" t="s">
        <v>582</v>
      </c>
      <c r="C1272" t="s">
        <v>97</v>
      </c>
      <c r="D1272" t="s">
        <v>65</v>
      </c>
      <c r="E1272" t="s">
        <v>1107</v>
      </c>
      <c r="F1272" s="13">
        <v>1</v>
      </c>
      <c r="G1272" s="14">
        <v>229.44</v>
      </c>
      <c r="H1272" s="13">
        <v>245</v>
      </c>
      <c r="I1272" t="s">
        <v>77</v>
      </c>
    </row>
    <row r="1273" spans="1:9" x14ac:dyDescent="0.3">
      <c r="A1273">
        <v>8793</v>
      </c>
      <c r="B1273" t="s">
        <v>1110</v>
      </c>
      <c r="C1273" t="s">
        <v>249</v>
      </c>
      <c r="D1273" t="s">
        <v>67</v>
      </c>
      <c r="E1273" t="s">
        <v>1107</v>
      </c>
      <c r="F1273" s="13">
        <v>5</v>
      </c>
      <c r="G1273" s="14">
        <v>3504.73</v>
      </c>
      <c r="H1273" s="13">
        <v>245</v>
      </c>
      <c r="I1273" t="s">
        <v>77</v>
      </c>
    </row>
    <row r="1274" spans="1:9" x14ac:dyDescent="0.3">
      <c r="A1274">
        <v>1000</v>
      </c>
      <c r="B1274" t="s">
        <v>1111</v>
      </c>
      <c r="C1274" t="s">
        <v>92</v>
      </c>
      <c r="D1274" t="s">
        <v>64</v>
      </c>
      <c r="E1274" t="s">
        <v>1112</v>
      </c>
      <c r="F1274" s="13">
        <v>1</v>
      </c>
      <c r="G1274" s="14">
        <v>507.48</v>
      </c>
      <c r="H1274" s="13">
        <v>244</v>
      </c>
      <c r="I1274" t="s">
        <v>77</v>
      </c>
    </row>
    <row r="1275" spans="1:9" x14ac:dyDescent="0.3">
      <c r="A1275">
        <v>2338</v>
      </c>
      <c r="B1275" t="s">
        <v>1113</v>
      </c>
      <c r="C1275" t="s">
        <v>92</v>
      </c>
      <c r="D1275" t="s">
        <v>64</v>
      </c>
      <c r="E1275" t="s">
        <v>1112</v>
      </c>
      <c r="F1275" s="13">
        <v>3</v>
      </c>
      <c r="G1275" s="14">
        <v>1580.13</v>
      </c>
      <c r="H1275" s="13">
        <v>244</v>
      </c>
      <c r="I1275" t="s">
        <v>77</v>
      </c>
    </row>
    <row r="1276" spans="1:9" x14ac:dyDescent="0.3">
      <c r="A1276">
        <v>3223</v>
      </c>
      <c r="B1276" t="s">
        <v>638</v>
      </c>
      <c r="C1276" t="s">
        <v>92</v>
      </c>
      <c r="D1276" t="s">
        <v>64</v>
      </c>
      <c r="E1276" t="s">
        <v>1112</v>
      </c>
      <c r="F1276" s="13">
        <v>3</v>
      </c>
      <c r="G1276" s="14">
        <v>3457.19</v>
      </c>
      <c r="H1276" s="13">
        <v>244</v>
      </c>
      <c r="I1276" t="s">
        <v>77</v>
      </c>
    </row>
    <row r="1277" spans="1:9" x14ac:dyDescent="0.3">
      <c r="A1277">
        <v>3360</v>
      </c>
      <c r="B1277" t="s">
        <v>364</v>
      </c>
      <c r="C1277" t="s">
        <v>114</v>
      </c>
      <c r="D1277" t="s">
        <v>66</v>
      </c>
      <c r="E1277" t="s">
        <v>1112</v>
      </c>
      <c r="F1277" s="13">
        <v>2</v>
      </c>
      <c r="G1277" s="14">
        <v>1320.3</v>
      </c>
      <c r="H1277" s="13">
        <v>244</v>
      </c>
      <c r="I1277" t="s">
        <v>77</v>
      </c>
    </row>
    <row r="1278" spans="1:9" x14ac:dyDescent="0.3">
      <c r="A1278">
        <v>3949</v>
      </c>
      <c r="B1278" t="s">
        <v>1114</v>
      </c>
      <c r="C1278" t="s">
        <v>97</v>
      </c>
      <c r="D1278" t="s">
        <v>65</v>
      </c>
      <c r="E1278" t="s">
        <v>1112</v>
      </c>
      <c r="F1278" s="13">
        <v>4</v>
      </c>
      <c r="G1278" s="14">
        <v>2865.54</v>
      </c>
      <c r="H1278" s="13">
        <v>244</v>
      </c>
      <c r="I1278" t="s">
        <v>77</v>
      </c>
    </row>
    <row r="1279" spans="1:9" x14ac:dyDescent="0.3">
      <c r="A1279">
        <v>5565</v>
      </c>
      <c r="B1279" t="s">
        <v>1115</v>
      </c>
      <c r="C1279" t="s">
        <v>123</v>
      </c>
      <c r="D1279" t="s">
        <v>65</v>
      </c>
      <c r="E1279" t="s">
        <v>1112</v>
      </c>
      <c r="F1279" s="13">
        <v>1</v>
      </c>
      <c r="G1279" s="14">
        <v>1169.31</v>
      </c>
      <c r="H1279" s="13">
        <v>244</v>
      </c>
      <c r="I1279" t="s">
        <v>77</v>
      </c>
    </row>
    <row r="1280" spans="1:9" x14ac:dyDescent="0.3">
      <c r="A1280">
        <v>6175</v>
      </c>
      <c r="B1280" t="s">
        <v>1116</v>
      </c>
      <c r="C1280" t="s">
        <v>92</v>
      </c>
      <c r="D1280" t="s">
        <v>64</v>
      </c>
      <c r="E1280" t="s">
        <v>1112</v>
      </c>
      <c r="F1280" s="13">
        <v>2</v>
      </c>
      <c r="G1280" s="14">
        <v>3415.92</v>
      </c>
      <c r="H1280" s="13">
        <v>244</v>
      </c>
      <c r="I1280" t="s">
        <v>77</v>
      </c>
    </row>
    <row r="1281" spans="1:9" x14ac:dyDescent="0.3">
      <c r="A1281">
        <v>7865</v>
      </c>
      <c r="B1281" t="s">
        <v>1117</v>
      </c>
      <c r="C1281" t="s">
        <v>137</v>
      </c>
      <c r="D1281" t="s">
        <v>64</v>
      </c>
      <c r="E1281" t="s">
        <v>1112</v>
      </c>
      <c r="F1281" s="13">
        <v>1</v>
      </c>
      <c r="G1281" s="14">
        <v>943.27</v>
      </c>
      <c r="H1281" s="13">
        <v>244</v>
      </c>
      <c r="I1281" t="s">
        <v>77</v>
      </c>
    </row>
    <row r="1282" spans="1:9" x14ac:dyDescent="0.3">
      <c r="A1282">
        <v>8702</v>
      </c>
      <c r="B1282" t="s">
        <v>460</v>
      </c>
      <c r="C1282" t="s">
        <v>133</v>
      </c>
      <c r="D1282" t="s">
        <v>64</v>
      </c>
      <c r="E1282" t="s">
        <v>1112</v>
      </c>
      <c r="F1282" s="13">
        <v>3</v>
      </c>
      <c r="G1282" s="14">
        <v>5122.6099999999997</v>
      </c>
      <c r="H1282" s="13">
        <v>244</v>
      </c>
      <c r="I1282" t="s">
        <v>77</v>
      </c>
    </row>
    <row r="1283" spans="1:9" x14ac:dyDescent="0.3">
      <c r="A1283">
        <v>1779</v>
      </c>
      <c r="B1283" t="s">
        <v>142</v>
      </c>
      <c r="C1283" t="s">
        <v>97</v>
      </c>
      <c r="D1283" t="s">
        <v>65</v>
      </c>
      <c r="E1283" t="s">
        <v>1118</v>
      </c>
      <c r="F1283" s="13">
        <v>2</v>
      </c>
      <c r="G1283" s="14">
        <v>2474.84</v>
      </c>
      <c r="H1283" s="13">
        <v>243</v>
      </c>
      <c r="I1283" t="s">
        <v>77</v>
      </c>
    </row>
    <row r="1284" spans="1:9" x14ac:dyDescent="0.3">
      <c r="A1284">
        <v>1841</v>
      </c>
      <c r="B1284" t="s">
        <v>1056</v>
      </c>
      <c r="C1284" t="s">
        <v>92</v>
      </c>
      <c r="D1284" t="s">
        <v>64</v>
      </c>
      <c r="E1284" t="s">
        <v>1118</v>
      </c>
      <c r="F1284" s="13">
        <v>1</v>
      </c>
      <c r="G1284" s="14">
        <v>269.64</v>
      </c>
      <c r="H1284" s="13">
        <v>243</v>
      </c>
      <c r="I1284" t="s">
        <v>77</v>
      </c>
    </row>
    <row r="1285" spans="1:9" x14ac:dyDescent="0.3">
      <c r="A1285">
        <v>3446</v>
      </c>
      <c r="B1285" t="s">
        <v>321</v>
      </c>
      <c r="C1285" t="s">
        <v>92</v>
      </c>
      <c r="D1285" t="s">
        <v>64</v>
      </c>
      <c r="E1285" t="s">
        <v>1118</v>
      </c>
      <c r="F1285" s="13">
        <v>1</v>
      </c>
      <c r="G1285" s="14">
        <v>1871.24</v>
      </c>
      <c r="H1285" s="13">
        <v>243</v>
      </c>
      <c r="I1285" t="s">
        <v>77</v>
      </c>
    </row>
    <row r="1286" spans="1:9" x14ac:dyDescent="0.3">
      <c r="A1286">
        <v>3980</v>
      </c>
      <c r="B1286" t="s">
        <v>1119</v>
      </c>
      <c r="C1286" t="s">
        <v>97</v>
      </c>
      <c r="D1286" t="s">
        <v>65</v>
      </c>
      <c r="E1286" t="s">
        <v>1118</v>
      </c>
      <c r="F1286" s="13">
        <v>1</v>
      </c>
      <c r="G1286" s="14">
        <v>1510.02</v>
      </c>
      <c r="H1286" s="13">
        <v>243</v>
      </c>
      <c r="I1286" t="s">
        <v>77</v>
      </c>
    </row>
    <row r="1287" spans="1:9" x14ac:dyDescent="0.3">
      <c r="A1287">
        <v>4784</v>
      </c>
      <c r="B1287" t="s">
        <v>1120</v>
      </c>
      <c r="C1287" t="s">
        <v>133</v>
      </c>
      <c r="D1287" t="s">
        <v>64</v>
      </c>
      <c r="E1287" t="s">
        <v>1118</v>
      </c>
      <c r="F1287" s="13">
        <v>1</v>
      </c>
      <c r="G1287" s="14">
        <v>310.99</v>
      </c>
      <c r="H1287" s="13">
        <v>243</v>
      </c>
      <c r="I1287" t="s">
        <v>77</v>
      </c>
    </row>
    <row r="1288" spans="1:9" x14ac:dyDescent="0.3">
      <c r="A1288">
        <v>6799</v>
      </c>
      <c r="B1288" t="s">
        <v>1121</v>
      </c>
      <c r="C1288" t="s">
        <v>92</v>
      </c>
      <c r="D1288" t="s">
        <v>64</v>
      </c>
      <c r="E1288" t="s">
        <v>1118</v>
      </c>
      <c r="F1288" s="13">
        <v>2</v>
      </c>
      <c r="G1288" s="14">
        <v>4047.19</v>
      </c>
      <c r="H1288" s="13">
        <v>243</v>
      </c>
      <c r="I1288" t="s">
        <v>77</v>
      </c>
    </row>
    <row r="1289" spans="1:9" x14ac:dyDescent="0.3">
      <c r="A1289">
        <v>7726</v>
      </c>
      <c r="B1289" t="s">
        <v>1122</v>
      </c>
      <c r="C1289" t="s">
        <v>92</v>
      </c>
      <c r="D1289" t="s">
        <v>64</v>
      </c>
      <c r="E1289" t="s">
        <v>1118</v>
      </c>
      <c r="F1289" s="13">
        <v>1</v>
      </c>
      <c r="G1289" s="14">
        <v>4425.34</v>
      </c>
      <c r="H1289" s="13">
        <v>243</v>
      </c>
      <c r="I1289" t="s">
        <v>77</v>
      </c>
    </row>
    <row r="1290" spans="1:9" x14ac:dyDescent="0.3">
      <c r="A1290">
        <v>1227</v>
      </c>
      <c r="B1290" t="s">
        <v>277</v>
      </c>
      <c r="C1290" t="s">
        <v>133</v>
      </c>
      <c r="D1290" t="s">
        <v>64</v>
      </c>
      <c r="E1290" t="s">
        <v>1123</v>
      </c>
      <c r="F1290" s="13">
        <v>2</v>
      </c>
      <c r="G1290" s="14">
        <v>3291.93</v>
      </c>
      <c r="H1290" s="13">
        <v>242</v>
      </c>
      <c r="I1290" t="s">
        <v>77</v>
      </c>
    </row>
    <row r="1291" spans="1:9" x14ac:dyDescent="0.3">
      <c r="A1291">
        <v>1729</v>
      </c>
      <c r="B1291" t="s">
        <v>638</v>
      </c>
      <c r="C1291" t="s">
        <v>121</v>
      </c>
      <c r="D1291" t="s">
        <v>67</v>
      </c>
      <c r="E1291" t="s">
        <v>1123</v>
      </c>
      <c r="F1291" s="13">
        <v>2</v>
      </c>
      <c r="G1291" s="14">
        <v>8723.52</v>
      </c>
      <c r="H1291" s="13">
        <v>242</v>
      </c>
      <c r="I1291" t="s">
        <v>77</v>
      </c>
    </row>
    <row r="1292" spans="1:9" x14ac:dyDescent="0.3">
      <c r="A1292">
        <v>2475</v>
      </c>
      <c r="B1292" t="s">
        <v>588</v>
      </c>
      <c r="C1292" t="s">
        <v>95</v>
      </c>
      <c r="D1292" t="s">
        <v>65</v>
      </c>
      <c r="E1292" t="s">
        <v>1123</v>
      </c>
      <c r="F1292" s="13">
        <v>1</v>
      </c>
      <c r="G1292" s="14">
        <v>322.08</v>
      </c>
      <c r="H1292" s="13">
        <v>242</v>
      </c>
      <c r="I1292" t="s">
        <v>77</v>
      </c>
    </row>
    <row r="1293" spans="1:9" x14ac:dyDescent="0.3">
      <c r="A1293">
        <v>3916</v>
      </c>
      <c r="B1293" t="s">
        <v>449</v>
      </c>
      <c r="C1293" t="s">
        <v>92</v>
      </c>
      <c r="D1293" t="s">
        <v>64</v>
      </c>
      <c r="E1293" t="s">
        <v>1123</v>
      </c>
      <c r="F1293" s="13">
        <v>1</v>
      </c>
      <c r="G1293" s="14">
        <v>1212.04</v>
      </c>
      <c r="H1293" s="13">
        <v>242</v>
      </c>
      <c r="I1293" t="s">
        <v>77</v>
      </c>
    </row>
    <row r="1294" spans="1:9" x14ac:dyDescent="0.3">
      <c r="A1294">
        <v>4676</v>
      </c>
      <c r="B1294" t="s">
        <v>1124</v>
      </c>
      <c r="C1294" t="s">
        <v>137</v>
      </c>
      <c r="D1294" t="s">
        <v>64</v>
      </c>
      <c r="E1294" t="s">
        <v>1123</v>
      </c>
      <c r="F1294" s="13">
        <v>1</v>
      </c>
      <c r="G1294" s="14">
        <v>281.99</v>
      </c>
      <c r="H1294" s="13">
        <v>242</v>
      </c>
      <c r="I1294" t="s">
        <v>77</v>
      </c>
    </row>
    <row r="1295" spans="1:9" x14ac:dyDescent="0.3">
      <c r="A1295">
        <v>6652</v>
      </c>
      <c r="B1295" t="s">
        <v>527</v>
      </c>
      <c r="C1295" t="s">
        <v>249</v>
      </c>
      <c r="D1295" t="s">
        <v>67</v>
      </c>
      <c r="E1295" t="s">
        <v>1123</v>
      </c>
      <c r="F1295" s="13">
        <v>2</v>
      </c>
      <c r="G1295" s="14">
        <v>1594.73</v>
      </c>
      <c r="H1295" s="13">
        <v>242</v>
      </c>
      <c r="I1295" t="s">
        <v>77</v>
      </c>
    </row>
    <row r="1296" spans="1:9" x14ac:dyDescent="0.3">
      <c r="A1296">
        <v>7724</v>
      </c>
      <c r="B1296" t="s">
        <v>1125</v>
      </c>
      <c r="C1296" t="s">
        <v>137</v>
      </c>
      <c r="D1296" t="s">
        <v>64</v>
      </c>
      <c r="E1296" t="s">
        <v>1123</v>
      </c>
      <c r="F1296" s="13">
        <v>1</v>
      </c>
      <c r="G1296" s="14">
        <v>4269.2</v>
      </c>
      <c r="H1296" s="13">
        <v>242</v>
      </c>
      <c r="I1296" t="s">
        <v>77</v>
      </c>
    </row>
    <row r="1297" spans="1:9" x14ac:dyDescent="0.3">
      <c r="A1297">
        <v>804</v>
      </c>
      <c r="B1297" t="s">
        <v>641</v>
      </c>
      <c r="C1297" t="s">
        <v>103</v>
      </c>
      <c r="D1297" t="s">
        <v>67</v>
      </c>
      <c r="E1297" t="s">
        <v>1126</v>
      </c>
      <c r="F1297" s="13">
        <v>1</v>
      </c>
      <c r="G1297" s="14">
        <v>355.73</v>
      </c>
      <c r="H1297" s="13">
        <v>241</v>
      </c>
      <c r="I1297" t="s">
        <v>77</v>
      </c>
    </row>
    <row r="1298" spans="1:9" x14ac:dyDescent="0.3">
      <c r="A1298">
        <v>1014</v>
      </c>
      <c r="B1298" t="s">
        <v>149</v>
      </c>
      <c r="C1298" t="s">
        <v>103</v>
      </c>
      <c r="D1298" t="s">
        <v>67</v>
      </c>
      <c r="E1298" t="s">
        <v>1126</v>
      </c>
      <c r="F1298" s="13">
        <v>2</v>
      </c>
      <c r="G1298" s="14">
        <v>2514.7399999999998</v>
      </c>
      <c r="H1298" s="13">
        <v>241</v>
      </c>
      <c r="I1298" t="s">
        <v>77</v>
      </c>
    </row>
    <row r="1299" spans="1:9" x14ac:dyDescent="0.3">
      <c r="A1299">
        <v>1808</v>
      </c>
      <c r="B1299" t="s">
        <v>283</v>
      </c>
      <c r="C1299" t="s">
        <v>123</v>
      </c>
      <c r="D1299" t="s">
        <v>65</v>
      </c>
      <c r="E1299" t="s">
        <v>1126</v>
      </c>
      <c r="F1299" s="13">
        <v>5</v>
      </c>
      <c r="G1299" s="14">
        <v>3407.4</v>
      </c>
      <c r="H1299" s="13">
        <v>241</v>
      </c>
      <c r="I1299" t="s">
        <v>77</v>
      </c>
    </row>
    <row r="1300" spans="1:9" x14ac:dyDescent="0.3">
      <c r="A1300">
        <v>2485</v>
      </c>
      <c r="B1300" t="s">
        <v>346</v>
      </c>
      <c r="C1300" t="s">
        <v>249</v>
      </c>
      <c r="D1300" t="s">
        <v>67</v>
      </c>
      <c r="E1300" t="s">
        <v>1126</v>
      </c>
      <c r="F1300" s="13">
        <v>1</v>
      </c>
      <c r="G1300" s="14">
        <v>2403.1799999999998</v>
      </c>
      <c r="H1300" s="13">
        <v>241</v>
      </c>
      <c r="I1300" t="s">
        <v>77</v>
      </c>
    </row>
    <row r="1301" spans="1:9" x14ac:dyDescent="0.3">
      <c r="A1301">
        <v>3251</v>
      </c>
      <c r="B1301" t="s">
        <v>1127</v>
      </c>
      <c r="C1301" t="s">
        <v>97</v>
      </c>
      <c r="D1301" t="s">
        <v>65</v>
      </c>
      <c r="E1301" t="s">
        <v>1126</v>
      </c>
      <c r="F1301" s="13">
        <v>1</v>
      </c>
      <c r="G1301" s="14">
        <v>219.24</v>
      </c>
      <c r="H1301" s="13">
        <v>241</v>
      </c>
      <c r="I1301" t="s">
        <v>77</v>
      </c>
    </row>
    <row r="1302" spans="1:9" x14ac:dyDescent="0.3">
      <c r="A1302">
        <v>3540</v>
      </c>
      <c r="B1302" t="s">
        <v>414</v>
      </c>
      <c r="C1302" t="s">
        <v>114</v>
      </c>
      <c r="D1302" t="s">
        <v>66</v>
      </c>
      <c r="E1302" t="s">
        <v>1126</v>
      </c>
      <c r="F1302" s="13">
        <v>1</v>
      </c>
      <c r="G1302" s="14">
        <v>117.89</v>
      </c>
      <c r="H1302" s="13">
        <v>241</v>
      </c>
      <c r="I1302" t="s">
        <v>77</v>
      </c>
    </row>
    <row r="1303" spans="1:9" x14ac:dyDescent="0.3">
      <c r="A1303">
        <v>6184</v>
      </c>
      <c r="B1303" t="s">
        <v>325</v>
      </c>
      <c r="C1303" t="s">
        <v>137</v>
      </c>
      <c r="D1303" t="s">
        <v>64</v>
      </c>
      <c r="E1303" t="s">
        <v>1126</v>
      </c>
      <c r="F1303" s="13">
        <v>4</v>
      </c>
      <c r="G1303" s="14">
        <v>2579.5</v>
      </c>
      <c r="H1303" s="13">
        <v>241</v>
      </c>
      <c r="I1303" t="s">
        <v>77</v>
      </c>
    </row>
    <row r="1304" spans="1:9" x14ac:dyDescent="0.3">
      <c r="A1304">
        <v>7641</v>
      </c>
      <c r="B1304" t="s">
        <v>415</v>
      </c>
      <c r="C1304" t="s">
        <v>133</v>
      </c>
      <c r="D1304" t="s">
        <v>64</v>
      </c>
      <c r="E1304" t="s">
        <v>1126</v>
      </c>
      <c r="F1304" s="13">
        <v>1</v>
      </c>
      <c r="G1304" s="14">
        <v>864.58</v>
      </c>
      <c r="H1304" s="13">
        <v>241</v>
      </c>
      <c r="I1304" t="s">
        <v>77</v>
      </c>
    </row>
    <row r="1305" spans="1:9" x14ac:dyDescent="0.3">
      <c r="A1305">
        <v>7999</v>
      </c>
      <c r="B1305" t="s">
        <v>240</v>
      </c>
      <c r="C1305" t="s">
        <v>87</v>
      </c>
      <c r="D1305" t="s">
        <v>64</v>
      </c>
      <c r="E1305" t="s">
        <v>1126</v>
      </c>
      <c r="F1305" s="13">
        <v>1</v>
      </c>
      <c r="G1305" s="14">
        <v>2348.5100000000002</v>
      </c>
      <c r="H1305" s="13">
        <v>241</v>
      </c>
      <c r="I1305" t="s">
        <v>77</v>
      </c>
    </row>
    <row r="1306" spans="1:9" x14ac:dyDescent="0.3">
      <c r="A1306">
        <v>8926</v>
      </c>
      <c r="B1306" t="s">
        <v>1128</v>
      </c>
      <c r="C1306" t="s">
        <v>114</v>
      </c>
      <c r="D1306" t="s">
        <v>66</v>
      </c>
      <c r="E1306" t="s">
        <v>1126</v>
      </c>
      <c r="F1306" s="13">
        <v>2</v>
      </c>
      <c r="G1306" s="14">
        <v>9901.4699999999993</v>
      </c>
      <c r="H1306" s="13">
        <v>241</v>
      </c>
      <c r="I1306" t="s">
        <v>77</v>
      </c>
    </row>
    <row r="1307" spans="1:9" x14ac:dyDescent="0.3">
      <c r="A1307">
        <v>2570</v>
      </c>
      <c r="B1307" t="s">
        <v>950</v>
      </c>
      <c r="C1307" t="s">
        <v>90</v>
      </c>
      <c r="D1307" t="s">
        <v>66</v>
      </c>
      <c r="E1307" t="s">
        <v>1129</v>
      </c>
      <c r="F1307" s="13">
        <v>1</v>
      </c>
      <c r="G1307" s="14">
        <v>3002.75</v>
      </c>
      <c r="H1307" s="13">
        <v>240</v>
      </c>
      <c r="I1307" t="s">
        <v>77</v>
      </c>
    </row>
    <row r="1308" spans="1:9" x14ac:dyDescent="0.3">
      <c r="A1308">
        <v>3448</v>
      </c>
      <c r="B1308" t="s">
        <v>1130</v>
      </c>
      <c r="C1308" t="s">
        <v>156</v>
      </c>
      <c r="D1308" t="s">
        <v>68</v>
      </c>
      <c r="E1308" t="s">
        <v>1129</v>
      </c>
      <c r="F1308" s="13">
        <v>1</v>
      </c>
      <c r="G1308" s="14">
        <v>300.35000000000002</v>
      </c>
      <c r="H1308" s="13">
        <v>240</v>
      </c>
      <c r="I1308" t="s">
        <v>77</v>
      </c>
    </row>
    <row r="1309" spans="1:9" x14ac:dyDescent="0.3">
      <c r="A1309">
        <v>4383</v>
      </c>
      <c r="B1309" t="s">
        <v>293</v>
      </c>
      <c r="C1309" t="s">
        <v>114</v>
      </c>
      <c r="D1309" t="s">
        <v>66</v>
      </c>
      <c r="E1309" t="s">
        <v>1129</v>
      </c>
      <c r="F1309" s="13">
        <v>1</v>
      </c>
      <c r="G1309" s="14">
        <v>6909.45</v>
      </c>
      <c r="H1309" s="13">
        <v>240</v>
      </c>
      <c r="I1309" t="s">
        <v>77</v>
      </c>
    </row>
    <row r="1310" spans="1:9" x14ac:dyDescent="0.3">
      <c r="A1310">
        <v>4508</v>
      </c>
      <c r="B1310" t="s">
        <v>1131</v>
      </c>
      <c r="C1310" t="s">
        <v>249</v>
      </c>
      <c r="D1310" t="s">
        <v>67</v>
      </c>
      <c r="E1310" t="s">
        <v>1129</v>
      </c>
      <c r="F1310" s="13">
        <v>3</v>
      </c>
      <c r="G1310" s="14">
        <v>7047.24</v>
      </c>
      <c r="H1310" s="13">
        <v>240</v>
      </c>
      <c r="I1310" t="s">
        <v>77</v>
      </c>
    </row>
    <row r="1311" spans="1:9" x14ac:dyDescent="0.3">
      <c r="A1311">
        <v>5675</v>
      </c>
      <c r="B1311" t="s">
        <v>163</v>
      </c>
      <c r="C1311" t="s">
        <v>92</v>
      </c>
      <c r="D1311" t="s">
        <v>64</v>
      </c>
      <c r="E1311" t="s">
        <v>1129</v>
      </c>
      <c r="F1311" s="13">
        <v>1</v>
      </c>
      <c r="G1311" s="14">
        <v>98.21</v>
      </c>
      <c r="H1311" s="13">
        <v>240</v>
      </c>
      <c r="I1311" t="s">
        <v>77</v>
      </c>
    </row>
    <row r="1312" spans="1:9" x14ac:dyDescent="0.3">
      <c r="A1312">
        <v>6336</v>
      </c>
      <c r="B1312" t="s">
        <v>371</v>
      </c>
      <c r="C1312" t="s">
        <v>97</v>
      </c>
      <c r="D1312" t="s">
        <v>65</v>
      </c>
      <c r="E1312" t="s">
        <v>1129</v>
      </c>
      <c r="F1312" s="13">
        <v>2</v>
      </c>
      <c r="G1312" s="14">
        <v>792.04</v>
      </c>
      <c r="H1312" s="13">
        <v>240</v>
      </c>
      <c r="I1312" t="s">
        <v>77</v>
      </c>
    </row>
    <row r="1313" spans="1:9" x14ac:dyDescent="0.3">
      <c r="A1313">
        <v>6878</v>
      </c>
      <c r="B1313" t="s">
        <v>454</v>
      </c>
      <c r="C1313" t="s">
        <v>121</v>
      </c>
      <c r="D1313" t="s">
        <v>67</v>
      </c>
      <c r="E1313" t="s">
        <v>1129</v>
      </c>
      <c r="F1313" s="13">
        <v>1</v>
      </c>
      <c r="G1313" s="14">
        <v>296.16000000000003</v>
      </c>
      <c r="H1313" s="13">
        <v>240</v>
      </c>
      <c r="I1313" t="s">
        <v>77</v>
      </c>
    </row>
    <row r="1314" spans="1:9" x14ac:dyDescent="0.3">
      <c r="A1314">
        <v>8321</v>
      </c>
      <c r="B1314" t="s">
        <v>540</v>
      </c>
      <c r="C1314" t="s">
        <v>133</v>
      </c>
      <c r="D1314" t="s">
        <v>64</v>
      </c>
      <c r="E1314" t="s">
        <v>1129</v>
      </c>
      <c r="F1314" s="13">
        <v>3</v>
      </c>
      <c r="G1314" s="14">
        <v>1042.93</v>
      </c>
      <c r="H1314" s="13">
        <v>240</v>
      </c>
      <c r="I1314" t="s">
        <v>77</v>
      </c>
    </row>
    <row r="1315" spans="1:9" x14ac:dyDescent="0.3">
      <c r="A1315">
        <v>3473</v>
      </c>
      <c r="B1315" t="s">
        <v>138</v>
      </c>
      <c r="C1315" t="s">
        <v>95</v>
      </c>
      <c r="D1315" t="s">
        <v>65</v>
      </c>
      <c r="E1315" t="s">
        <v>1132</v>
      </c>
      <c r="F1315" s="13">
        <v>1</v>
      </c>
      <c r="G1315" s="14">
        <v>3940.14</v>
      </c>
      <c r="H1315" s="13">
        <v>239</v>
      </c>
      <c r="I1315" t="s">
        <v>77</v>
      </c>
    </row>
    <row r="1316" spans="1:9" x14ac:dyDescent="0.3">
      <c r="A1316">
        <v>3496</v>
      </c>
      <c r="B1316" t="s">
        <v>1133</v>
      </c>
      <c r="C1316" t="s">
        <v>92</v>
      </c>
      <c r="D1316" t="s">
        <v>64</v>
      </c>
      <c r="E1316" t="s">
        <v>1132</v>
      </c>
      <c r="F1316" s="13">
        <v>2</v>
      </c>
      <c r="G1316" s="14">
        <v>2750.89</v>
      </c>
      <c r="H1316" s="13">
        <v>239</v>
      </c>
      <c r="I1316" t="s">
        <v>77</v>
      </c>
    </row>
    <row r="1317" spans="1:9" x14ac:dyDescent="0.3">
      <c r="A1317">
        <v>3996</v>
      </c>
      <c r="B1317" t="s">
        <v>1134</v>
      </c>
      <c r="C1317" t="s">
        <v>92</v>
      </c>
      <c r="D1317" t="s">
        <v>64</v>
      </c>
      <c r="E1317" t="s">
        <v>1132</v>
      </c>
      <c r="F1317" s="13">
        <v>2</v>
      </c>
      <c r="G1317" s="14">
        <v>1271.3599999999999</v>
      </c>
      <c r="H1317" s="13">
        <v>239</v>
      </c>
      <c r="I1317" t="s">
        <v>77</v>
      </c>
    </row>
    <row r="1318" spans="1:9" x14ac:dyDescent="0.3">
      <c r="A1318">
        <v>5248</v>
      </c>
      <c r="B1318" t="s">
        <v>382</v>
      </c>
      <c r="C1318" t="s">
        <v>137</v>
      </c>
      <c r="D1318" t="s">
        <v>64</v>
      </c>
      <c r="E1318" t="s">
        <v>1132</v>
      </c>
      <c r="F1318" s="13">
        <v>6</v>
      </c>
      <c r="G1318" s="14">
        <v>6549.25</v>
      </c>
      <c r="H1318" s="13">
        <v>239</v>
      </c>
      <c r="I1318" t="s">
        <v>77</v>
      </c>
    </row>
    <row r="1319" spans="1:9" x14ac:dyDescent="0.3">
      <c r="A1319">
        <v>6165</v>
      </c>
      <c r="B1319" t="s">
        <v>1135</v>
      </c>
      <c r="C1319" t="s">
        <v>95</v>
      </c>
      <c r="D1319" t="s">
        <v>65</v>
      </c>
      <c r="E1319" t="s">
        <v>1132</v>
      </c>
      <c r="F1319" s="13">
        <v>2</v>
      </c>
      <c r="G1319" s="14">
        <v>3142.58</v>
      </c>
      <c r="H1319" s="13">
        <v>239</v>
      </c>
      <c r="I1319" t="s">
        <v>77</v>
      </c>
    </row>
    <row r="1320" spans="1:9" x14ac:dyDescent="0.3">
      <c r="A1320">
        <v>6211</v>
      </c>
      <c r="B1320" t="s">
        <v>460</v>
      </c>
      <c r="C1320" t="s">
        <v>90</v>
      </c>
      <c r="D1320" t="s">
        <v>66</v>
      </c>
      <c r="E1320" t="s">
        <v>1132</v>
      </c>
      <c r="F1320" s="13">
        <v>2</v>
      </c>
      <c r="G1320" s="14">
        <v>6266.56</v>
      </c>
      <c r="H1320" s="13">
        <v>239</v>
      </c>
      <c r="I1320" t="s">
        <v>77</v>
      </c>
    </row>
    <row r="1321" spans="1:9" x14ac:dyDescent="0.3">
      <c r="A1321">
        <v>7306</v>
      </c>
      <c r="B1321" t="s">
        <v>311</v>
      </c>
      <c r="C1321" t="s">
        <v>133</v>
      </c>
      <c r="D1321" t="s">
        <v>64</v>
      </c>
      <c r="E1321" t="s">
        <v>1132</v>
      </c>
      <c r="F1321" s="13">
        <v>1</v>
      </c>
      <c r="G1321" s="14">
        <v>3071.74</v>
      </c>
      <c r="H1321" s="13">
        <v>239</v>
      </c>
      <c r="I1321" t="s">
        <v>77</v>
      </c>
    </row>
    <row r="1322" spans="1:9" x14ac:dyDescent="0.3">
      <c r="A1322">
        <v>7796</v>
      </c>
      <c r="B1322" t="s">
        <v>163</v>
      </c>
      <c r="C1322" t="s">
        <v>123</v>
      </c>
      <c r="D1322" t="s">
        <v>65</v>
      </c>
      <c r="E1322" t="s">
        <v>1132</v>
      </c>
      <c r="F1322" s="13">
        <v>1</v>
      </c>
      <c r="G1322" s="14">
        <v>739.04</v>
      </c>
      <c r="H1322" s="13">
        <v>239</v>
      </c>
      <c r="I1322" t="s">
        <v>77</v>
      </c>
    </row>
    <row r="1323" spans="1:9" x14ac:dyDescent="0.3">
      <c r="A1323">
        <v>8163</v>
      </c>
      <c r="B1323" t="s">
        <v>1136</v>
      </c>
      <c r="C1323" t="s">
        <v>137</v>
      </c>
      <c r="D1323" t="s">
        <v>64</v>
      </c>
      <c r="E1323" t="s">
        <v>1132</v>
      </c>
      <c r="F1323" s="13">
        <v>2</v>
      </c>
      <c r="G1323" s="14">
        <v>5061.8100000000004</v>
      </c>
      <c r="H1323" s="13">
        <v>239</v>
      </c>
      <c r="I1323" t="s">
        <v>77</v>
      </c>
    </row>
    <row r="1324" spans="1:9" x14ac:dyDescent="0.3">
      <c r="A1324">
        <v>8362</v>
      </c>
      <c r="B1324" t="s">
        <v>176</v>
      </c>
      <c r="C1324" t="s">
        <v>137</v>
      </c>
      <c r="D1324" t="s">
        <v>64</v>
      </c>
      <c r="E1324" t="s">
        <v>1132</v>
      </c>
      <c r="F1324" s="13">
        <v>2</v>
      </c>
      <c r="G1324" s="14">
        <v>7699.04</v>
      </c>
      <c r="H1324" s="13">
        <v>239</v>
      </c>
      <c r="I1324" t="s">
        <v>77</v>
      </c>
    </row>
    <row r="1325" spans="1:9" x14ac:dyDescent="0.3">
      <c r="A1325">
        <v>8417</v>
      </c>
      <c r="B1325" t="s">
        <v>1137</v>
      </c>
      <c r="C1325" t="s">
        <v>100</v>
      </c>
      <c r="D1325" t="s">
        <v>66</v>
      </c>
      <c r="E1325" t="s">
        <v>1132</v>
      </c>
      <c r="F1325" s="13">
        <v>1</v>
      </c>
      <c r="G1325" s="14">
        <v>1709.09</v>
      </c>
      <c r="H1325" s="13">
        <v>239</v>
      </c>
      <c r="I1325" t="s">
        <v>77</v>
      </c>
    </row>
    <row r="1326" spans="1:9" x14ac:dyDescent="0.3">
      <c r="A1326">
        <v>8992</v>
      </c>
      <c r="B1326" t="s">
        <v>1138</v>
      </c>
      <c r="C1326" t="s">
        <v>123</v>
      </c>
      <c r="D1326" t="s">
        <v>65</v>
      </c>
      <c r="E1326" t="s">
        <v>1132</v>
      </c>
      <c r="F1326" s="13">
        <v>1</v>
      </c>
      <c r="G1326" s="14">
        <v>1053.51</v>
      </c>
      <c r="H1326" s="13">
        <v>239</v>
      </c>
      <c r="I1326" t="s">
        <v>77</v>
      </c>
    </row>
    <row r="1327" spans="1:9" x14ac:dyDescent="0.3">
      <c r="A1327">
        <v>1127</v>
      </c>
      <c r="B1327" t="s">
        <v>543</v>
      </c>
      <c r="C1327" t="s">
        <v>156</v>
      </c>
      <c r="D1327" t="s">
        <v>68</v>
      </c>
      <c r="E1327" t="s">
        <v>1139</v>
      </c>
      <c r="F1327" s="13">
        <v>1</v>
      </c>
      <c r="G1327" s="14">
        <v>2572.86</v>
      </c>
      <c r="H1327" s="13">
        <v>238</v>
      </c>
      <c r="I1327" t="s">
        <v>77</v>
      </c>
    </row>
    <row r="1328" spans="1:9" x14ac:dyDescent="0.3">
      <c r="A1328">
        <v>1916</v>
      </c>
      <c r="B1328" t="s">
        <v>1140</v>
      </c>
      <c r="C1328" t="s">
        <v>133</v>
      </c>
      <c r="D1328" t="s">
        <v>64</v>
      </c>
      <c r="E1328" t="s">
        <v>1139</v>
      </c>
      <c r="F1328" s="13">
        <v>1</v>
      </c>
      <c r="G1328" s="14">
        <v>173.55</v>
      </c>
      <c r="H1328" s="13">
        <v>238</v>
      </c>
      <c r="I1328" t="s">
        <v>77</v>
      </c>
    </row>
    <row r="1329" spans="1:9" x14ac:dyDescent="0.3">
      <c r="A1329">
        <v>3880</v>
      </c>
      <c r="B1329" t="s">
        <v>760</v>
      </c>
      <c r="C1329" t="s">
        <v>133</v>
      </c>
      <c r="D1329" t="s">
        <v>64</v>
      </c>
      <c r="E1329" t="s">
        <v>1139</v>
      </c>
      <c r="F1329" s="13">
        <v>2</v>
      </c>
      <c r="G1329" s="14">
        <v>2395.1799999999998</v>
      </c>
      <c r="H1329" s="13">
        <v>238</v>
      </c>
      <c r="I1329" t="s">
        <v>77</v>
      </c>
    </row>
    <row r="1330" spans="1:9" x14ac:dyDescent="0.3">
      <c r="A1330">
        <v>5321</v>
      </c>
      <c r="B1330" t="s">
        <v>1141</v>
      </c>
      <c r="C1330" t="s">
        <v>249</v>
      </c>
      <c r="D1330" t="s">
        <v>67</v>
      </c>
      <c r="E1330" t="s">
        <v>1139</v>
      </c>
      <c r="F1330" s="13">
        <v>2</v>
      </c>
      <c r="G1330" s="14">
        <v>803.61</v>
      </c>
      <c r="H1330" s="13">
        <v>238</v>
      </c>
      <c r="I1330" t="s">
        <v>77</v>
      </c>
    </row>
    <row r="1331" spans="1:9" x14ac:dyDescent="0.3">
      <c r="A1331">
        <v>6235</v>
      </c>
      <c r="B1331" t="s">
        <v>135</v>
      </c>
      <c r="C1331" t="s">
        <v>92</v>
      </c>
      <c r="D1331" t="s">
        <v>64</v>
      </c>
      <c r="E1331" t="s">
        <v>1139</v>
      </c>
      <c r="F1331" s="13">
        <v>3</v>
      </c>
      <c r="G1331" s="14">
        <v>2589.2800000000002</v>
      </c>
      <c r="H1331" s="13">
        <v>238</v>
      </c>
      <c r="I1331" t="s">
        <v>77</v>
      </c>
    </row>
    <row r="1332" spans="1:9" x14ac:dyDescent="0.3">
      <c r="A1332">
        <v>7282</v>
      </c>
      <c r="B1332" t="s">
        <v>1142</v>
      </c>
      <c r="C1332" t="s">
        <v>133</v>
      </c>
      <c r="D1332" t="s">
        <v>64</v>
      </c>
      <c r="E1332" t="s">
        <v>1139</v>
      </c>
      <c r="F1332" s="13">
        <v>1</v>
      </c>
      <c r="G1332" s="14">
        <v>134.4</v>
      </c>
      <c r="H1332" s="13">
        <v>238</v>
      </c>
      <c r="I1332" t="s">
        <v>77</v>
      </c>
    </row>
    <row r="1333" spans="1:9" x14ac:dyDescent="0.3">
      <c r="A1333">
        <v>1052</v>
      </c>
      <c r="B1333" t="s">
        <v>135</v>
      </c>
      <c r="C1333" t="s">
        <v>133</v>
      </c>
      <c r="D1333" t="s">
        <v>64</v>
      </c>
      <c r="E1333" t="s">
        <v>1143</v>
      </c>
      <c r="F1333" s="13">
        <v>2</v>
      </c>
      <c r="G1333" s="14">
        <v>3689.36</v>
      </c>
      <c r="H1333" s="13">
        <v>237</v>
      </c>
      <c r="I1333" t="s">
        <v>77</v>
      </c>
    </row>
    <row r="1334" spans="1:9" x14ac:dyDescent="0.3">
      <c r="A1334">
        <v>1491</v>
      </c>
      <c r="B1334" t="s">
        <v>1134</v>
      </c>
      <c r="C1334" t="s">
        <v>97</v>
      </c>
      <c r="D1334" t="s">
        <v>65</v>
      </c>
      <c r="E1334" t="s">
        <v>1143</v>
      </c>
      <c r="F1334" s="13">
        <v>2</v>
      </c>
      <c r="G1334" s="14">
        <v>1037.06</v>
      </c>
      <c r="H1334" s="13">
        <v>237</v>
      </c>
      <c r="I1334" t="s">
        <v>77</v>
      </c>
    </row>
    <row r="1335" spans="1:9" x14ac:dyDescent="0.3">
      <c r="A1335">
        <v>1758</v>
      </c>
      <c r="B1335" t="s">
        <v>527</v>
      </c>
      <c r="C1335" t="s">
        <v>95</v>
      </c>
      <c r="D1335" t="s">
        <v>65</v>
      </c>
      <c r="E1335" t="s">
        <v>1143</v>
      </c>
      <c r="F1335" s="13">
        <v>1</v>
      </c>
      <c r="G1335" s="14">
        <v>3040.64</v>
      </c>
      <c r="H1335" s="13">
        <v>237</v>
      </c>
      <c r="I1335" t="s">
        <v>77</v>
      </c>
    </row>
    <row r="1336" spans="1:9" x14ac:dyDescent="0.3">
      <c r="A1336">
        <v>5110</v>
      </c>
      <c r="B1336" t="s">
        <v>1144</v>
      </c>
      <c r="C1336" t="s">
        <v>137</v>
      </c>
      <c r="D1336" t="s">
        <v>64</v>
      </c>
      <c r="E1336" t="s">
        <v>1143</v>
      </c>
      <c r="F1336" s="13">
        <v>2</v>
      </c>
      <c r="G1336" s="14">
        <v>2501.7600000000002</v>
      </c>
      <c r="H1336" s="13">
        <v>237</v>
      </c>
      <c r="I1336" t="s">
        <v>77</v>
      </c>
    </row>
    <row r="1337" spans="1:9" x14ac:dyDescent="0.3">
      <c r="A1337">
        <v>5495</v>
      </c>
      <c r="B1337" t="s">
        <v>641</v>
      </c>
      <c r="C1337" t="s">
        <v>92</v>
      </c>
      <c r="D1337" t="s">
        <v>64</v>
      </c>
      <c r="E1337" t="s">
        <v>1143</v>
      </c>
      <c r="F1337" s="13">
        <v>3</v>
      </c>
      <c r="G1337" s="14">
        <v>6397.47</v>
      </c>
      <c r="H1337" s="13">
        <v>237</v>
      </c>
      <c r="I1337" t="s">
        <v>77</v>
      </c>
    </row>
    <row r="1338" spans="1:9" x14ac:dyDescent="0.3">
      <c r="A1338">
        <v>7259</v>
      </c>
      <c r="B1338" t="s">
        <v>1145</v>
      </c>
      <c r="C1338" t="s">
        <v>92</v>
      </c>
      <c r="D1338" t="s">
        <v>64</v>
      </c>
      <c r="E1338" t="s">
        <v>1143</v>
      </c>
      <c r="F1338" s="13">
        <v>5</v>
      </c>
      <c r="G1338" s="14">
        <v>6108.78</v>
      </c>
      <c r="H1338" s="13">
        <v>237</v>
      </c>
      <c r="I1338" t="s">
        <v>77</v>
      </c>
    </row>
    <row r="1339" spans="1:9" x14ac:dyDescent="0.3">
      <c r="A1339">
        <v>7348</v>
      </c>
      <c r="B1339" t="s">
        <v>1146</v>
      </c>
      <c r="C1339" t="s">
        <v>123</v>
      </c>
      <c r="D1339" t="s">
        <v>65</v>
      </c>
      <c r="E1339" t="s">
        <v>1143</v>
      </c>
      <c r="F1339" s="13">
        <v>4</v>
      </c>
      <c r="G1339" s="14">
        <v>3150.79</v>
      </c>
      <c r="H1339" s="13">
        <v>237</v>
      </c>
      <c r="I1339" t="s">
        <v>77</v>
      </c>
    </row>
    <row r="1340" spans="1:9" x14ac:dyDescent="0.3">
      <c r="A1340">
        <v>7552</v>
      </c>
      <c r="B1340" t="s">
        <v>257</v>
      </c>
      <c r="C1340" t="s">
        <v>97</v>
      </c>
      <c r="D1340" t="s">
        <v>65</v>
      </c>
      <c r="E1340" t="s">
        <v>1143</v>
      </c>
      <c r="F1340" s="13">
        <v>1</v>
      </c>
      <c r="G1340" s="14">
        <v>755.92</v>
      </c>
      <c r="H1340" s="13">
        <v>237</v>
      </c>
      <c r="I1340" t="s">
        <v>77</v>
      </c>
    </row>
    <row r="1341" spans="1:9" x14ac:dyDescent="0.3">
      <c r="A1341">
        <v>8742</v>
      </c>
      <c r="B1341" t="s">
        <v>1147</v>
      </c>
      <c r="C1341" t="s">
        <v>92</v>
      </c>
      <c r="D1341" t="s">
        <v>64</v>
      </c>
      <c r="E1341" t="s">
        <v>1143</v>
      </c>
      <c r="F1341" s="13">
        <v>1</v>
      </c>
      <c r="G1341" s="14">
        <v>331.37</v>
      </c>
      <c r="H1341" s="13">
        <v>237</v>
      </c>
      <c r="I1341" t="s">
        <v>77</v>
      </c>
    </row>
    <row r="1342" spans="1:9" x14ac:dyDescent="0.3">
      <c r="A1342">
        <v>3077</v>
      </c>
      <c r="B1342" t="s">
        <v>1025</v>
      </c>
      <c r="C1342" t="s">
        <v>133</v>
      </c>
      <c r="D1342" t="s">
        <v>64</v>
      </c>
      <c r="E1342" t="s">
        <v>1148</v>
      </c>
      <c r="F1342" s="13">
        <v>2</v>
      </c>
      <c r="G1342" s="14">
        <v>2721.67</v>
      </c>
      <c r="H1342" s="13">
        <v>236</v>
      </c>
      <c r="I1342" t="s">
        <v>77</v>
      </c>
    </row>
    <row r="1343" spans="1:9" x14ac:dyDescent="0.3">
      <c r="A1343">
        <v>6783</v>
      </c>
      <c r="B1343" t="s">
        <v>1149</v>
      </c>
      <c r="C1343" t="s">
        <v>92</v>
      </c>
      <c r="D1343" t="s">
        <v>64</v>
      </c>
      <c r="E1343" t="s">
        <v>1148</v>
      </c>
      <c r="F1343" s="13">
        <v>1</v>
      </c>
      <c r="G1343" s="14">
        <v>79.489999999999995</v>
      </c>
      <c r="H1343" s="13">
        <v>236</v>
      </c>
      <c r="I1343" t="s">
        <v>77</v>
      </c>
    </row>
    <row r="1344" spans="1:9" x14ac:dyDescent="0.3">
      <c r="A1344">
        <v>6897</v>
      </c>
      <c r="B1344" t="s">
        <v>346</v>
      </c>
      <c r="C1344" t="s">
        <v>97</v>
      </c>
      <c r="D1344" t="s">
        <v>65</v>
      </c>
      <c r="E1344" t="s">
        <v>1148</v>
      </c>
      <c r="F1344" s="13">
        <v>1</v>
      </c>
      <c r="G1344" s="14">
        <v>248.4</v>
      </c>
      <c r="H1344" s="13">
        <v>236</v>
      </c>
      <c r="I1344" t="s">
        <v>77</v>
      </c>
    </row>
    <row r="1345" spans="1:9" x14ac:dyDescent="0.3">
      <c r="A1345">
        <v>7154</v>
      </c>
      <c r="B1345" t="s">
        <v>297</v>
      </c>
      <c r="C1345" t="s">
        <v>92</v>
      </c>
      <c r="D1345" t="s">
        <v>64</v>
      </c>
      <c r="E1345" t="s">
        <v>1148</v>
      </c>
      <c r="F1345" s="13">
        <v>2</v>
      </c>
      <c r="G1345" s="14">
        <v>7714.47</v>
      </c>
      <c r="H1345" s="13">
        <v>236</v>
      </c>
      <c r="I1345" t="s">
        <v>77</v>
      </c>
    </row>
    <row r="1346" spans="1:9" x14ac:dyDescent="0.3">
      <c r="A1346">
        <v>7176</v>
      </c>
      <c r="B1346" t="s">
        <v>426</v>
      </c>
      <c r="C1346" t="s">
        <v>90</v>
      </c>
      <c r="D1346" t="s">
        <v>66</v>
      </c>
      <c r="E1346" t="s">
        <v>1148</v>
      </c>
      <c r="F1346" s="13">
        <v>2</v>
      </c>
      <c r="G1346" s="14">
        <v>9973.9</v>
      </c>
      <c r="H1346" s="13">
        <v>236</v>
      </c>
      <c r="I1346" t="s">
        <v>77</v>
      </c>
    </row>
    <row r="1347" spans="1:9" x14ac:dyDescent="0.3">
      <c r="A1347">
        <v>7771</v>
      </c>
      <c r="B1347" t="s">
        <v>1150</v>
      </c>
      <c r="C1347" t="s">
        <v>95</v>
      </c>
      <c r="D1347" t="s">
        <v>65</v>
      </c>
      <c r="E1347" t="s">
        <v>1148</v>
      </c>
      <c r="F1347" s="13">
        <v>4</v>
      </c>
      <c r="G1347" s="14">
        <v>8381</v>
      </c>
      <c r="H1347" s="13">
        <v>236</v>
      </c>
      <c r="I1347" t="s">
        <v>77</v>
      </c>
    </row>
    <row r="1348" spans="1:9" x14ac:dyDescent="0.3">
      <c r="A1348">
        <v>8907</v>
      </c>
      <c r="B1348" t="s">
        <v>694</v>
      </c>
      <c r="C1348" t="s">
        <v>90</v>
      </c>
      <c r="D1348" t="s">
        <v>66</v>
      </c>
      <c r="E1348" t="s">
        <v>1148</v>
      </c>
      <c r="F1348" s="13">
        <v>2</v>
      </c>
      <c r="G1348" s="14">
        <v>910.11</v>
      </c>
      <c r="H1348" s="13">
        <v>236</v>
      </c>
      <c r="I1348" t="s">
        <v>77</v>
      </c>
    </row>
    <row r="1349" spans="1:9" x14ac:dyDescent="0.3">
      <c r="A1349">
        <v>1629</v>
      </c>
      <c r="B1349" t="s">
        <v>1151</v>
      </c>
      <c r="C1349" t="s">
        <v>121</v>
      </c>
      <c r="D1349" t="s">
        <v>67</v>
      </c>
      <c r="E1349" t="s">
        <v>1152</v>
      </c>
      <c r="F1349" s="13">
        <v>1</v>
      </c>
      <c r="G1349" s="14">
        <v>155.62</v>
      </c>
      <c r="H1349" s="13">
        <v>235</v>
      </c>
      <c r="I1349" t="s">
        <v>77</v>
      </c>
    </row>
    <row r="1350" spans="1:9" x14ac:dyDescent="0.3">
      <c r="A1350">
        <v>2302</v>
      </c>
      <c r="B1350" t="s">
        <v>257</v>
      </c>
      <c r="C1350" t="s">
        <v>92</v>
      </c>
      <c r="D1350" t="s">
        <v>64</v>
      </c>
      <c r="E1350" t="s">
        <v>1152</v>
      </c>
      <c r="F1350" s="13">
        <v>1</v>
      </c>
      <c r="G1350" s="14">
        <v>2442.64</v>
      </c>
      <c r="H1350" s="13">
        <v>235</v>
      </c>
      <c r="I1350" t="s">
        <v>77</v>
      </c>
    </row>
    <row r="1351" spans="1:9" x14ac:dyDescent="0.3">
      <c r="A1351">
        <v>3320</v>
      </c>
      <c r="B1351" t="s">
        <v>423</v>
      </c>
      <c r="C1351" t="s">
        <v>133</v>
      </c>
      <c r="D1351" t="s">
        <v>64</v>
      </c>
      <c r="E1351" t="s">
        <v>1152</v>
      </c>
      <c r="F1351" s="13">
        <v>2</v>
      </c>
      <c r="G1351" s="14">
        <v>3267.56</v>
      </c>
      <c r="H1351" s="13">
        <v>235</v>
      </c>
      <c r="I1351" t="s">
        <v>77</v>
      </c>
    </row>
    <row r="1352" spans="1:9" x14ac:dyDescent="0.3">
      <c r="A1352">
        <v>4894</v>
      </c>
      <c r="B1352" t="s">
        <v>342</v>
      </c>
      <c r="C1352" t="s">
        <v>95</v>
      </c>
      <c r="D1352" t="s">
        <v>65</v>
      </c>
      <c r="E1352" t="s">
        <v>1152</v>
      </c>
      <c r="F1352" s="13">
        <v>2</v>
      </c>
      <c r="G1352" s="14">
        <v>9464.23</v>
      </c>
      <c r="H1352" s="13">
        <v>235</v>
      </c>
      <c r="I1352" t="s">
        <v>77</v>
      </c>
    </row>
    <row r="1353" spans="1:9" x14ac:dyDescent="0.3">
      <c r="A1353">
        <v>6493</v>
      </c>
      <c r="B1353" t="s">
        <v>396</v>
      </c>
      <c r="C1353" t="s">
        <v>92</v>
      </c>
      <c r="D1353" t="s">
        <v>64</v>
      </c>
      <c r="E1353" t="s">
        <v>1152</v>
      </c>
      <c r="F1353" s="13">
        <v>3</v>
      </c>
      <c r="G1353" s="14">
        <v>12325.79</v>
      </c>
      <c r="H1353" s="13">
        <v>235</v>
      </c>
      <c r="I1353" t="s">
        <v>77</v>
      </c>
    </row>
    <row r="1354" spans="1:9" x14ac:dyDescent="0.3">
      <c r="A1354">
        <v>6828</v>
      </c>
      <c r="B1354" t="s">
        <v>1153</v>
      </c>
      <c r="C1354" t="s">
        <v>90</v>
      </c>
      <c r="D1354" t="s">
        <v>66</v>
      </c>
      <c r="E1354" t="s">
        <v>1152</v>
      </c>
      <c r="F1354" s="13">
        <v>1</v>
      </c>
      <c r="G1354" s="14">
        <v>504.32</v>
      </c>
      <c r="H1354" s="13">
        <v>235</v>
      </c>
      <c r="I1354" t="s">
        <v>77</v>
      </c>
    </row>
    <row r="1355" spans="1:9" x14ac:dyDescent="0.3">
      <c r="A1355">
        <v>7577</v>
      </c>
      <c r="B1355" t="s">
        <v>1154</v>
      </c>
      <c r="C1355" t="s">
        <v>97</v>
      </c>
      <c r="D1355" t="s">
        <v>65</v>
      </c>
      <c r="E1355" t="s">
        <v>1152</v>
      </c>
      <c r="F1355" s="13">
        <v>1</v>
      </c>
      <c r="G1355" s="14">
        <v>14579.85</v>
      </c>
      <c r="H1355" s="13">
        <v>235</v>
      </c>
      <c r="I1355" t="s">
        <v>77</v>
      </c>
    </row>
    <row r="1356" spans="1:9" x14ac:dyDescent="0.3">
      <c r="A1356">
        <v>7647</v>
      </c>
      <c r="B1356" t="s">
        <v>313</v>
      </c>
      <c r="C1356" t="s">
        <v>95</v>
      </c>
      <c r="D1356" t="s">
        <v>65</v>
      </c>
      <c r="E1356" t="s">
        <v>1152</v>
      </c>
      <c r="F1356" s="13">
        <v>3</v>
      </c>
      <c r="G1356" s="14">
        <v>9336.83</v>
      </c>
      <c r="H1356" s="13">
        <v>235</v>
      </c>
      <c r="I1356" t="s">
        <v>77</v>
      </c>
    </row>
    <row r="1357" spans="1:9" x14ac:dyDescent="0.3">
      <c r="A1357">
        <v>7718</v>
      </c>
      <c r="B1357" t="s">
        <v>283</v>
      </c>
      <c r="C1357" t="s">
        <v>137</v>
      </c>
      <c r="D1357" t="s">
        <v>64</v>
      </c>
      <c r="E1357" t="s">
        <v>1152</v>
      </c>
      <c r="F1357" s="13">
        <v>3</v>
      </c>
      <c r="G1357" s="14">
        <v>617.14</v>
      </c>
      <c r="H1357" s="13">
        <v>235</v>
      </c>
      <c r="I1357" t="s">
        <v>77</v>
      </c>
    </row>
    <row r="1358" spans="1:9" x14ac:dyDescent="0.3">
      <c r="A1358">
        <v>8018</v>
      </c>
      <c r="B1358" t="s">
        <v>1155</v>
      </c>
      <c r="C1358" t="s">
        <v>103</v>
      </c>
      <c r="D1358" t="s">
        <v>67</v>
      </c>
      <c r="E1358" t="s">
        <v>1152</v>
      </c>
      <c r="F1358" s="13">
        <v>1</v>
      </c>
      <c r="G1358" s="14">
        <v>174.07</v>
      </c>
      <c r="H1358" s="13">
        <v>235</v>
      </c>
      <c r="I1358" t="s">
        <v>77</v>
      </c>
    </row>
    <row r="1359" spans="1:9" x14ac:dyDescent="0.3">
      <c r="A1359">
        <v>202</v>
      </c>
      <c r="B1359" t="s">
        <v>1156</v>
      </c>
      <c r="C1359" t="s">
        <v>137</v>
      </c>
      <c r="D1359" t="s">
        <v>64</v>
      </c>
      <c r="E1359" t="s">
        <v>1157</v>
      </c>
      <c r="F1359" s="13">
        <v>4</v>
      </c>
      <c r="G1359" s="14">
        <v>12816.16</v>
      </c>
      <c r="H1359" s="13">
        <v>234</v>
      </c>
      <c r="I1359" t="s">
        <v>77</v>
      </c>
    </row>
    <row r="1360" spans="1:9" x14ac:dyDescent="0.3">
      <c r="A1360">
        <v>2337</v>
      </c>
      <c r="B1360" t="s">
        <v>220</v>
      </c>
      <c r="C1360" t="s">
        <v>123</v>
      </c>
      <c r="D1360" t="s">
        <v>65</v>
      </c>
      <c r="E1360" t="s">
        <v>1157</v>
      </c>
      <c r="F1360" s="13">
        <v>2</v>
      </c>
      <c r="G1360" s="14">
        <v>682.71</v>
      </c>
      <c r="H1360" s="13">
        <v>234</v>
      </c>
      <c r="I1360" t="s">
        <v>77</v>
      </c>
    </row>
    <row r="1361" spans="1:9" x14ac:dyDescent="0.3">
      <c r="A1361">
        <v>2634</v>
      </c>
      <c r="B1361" t="s">
        <v>1158</v>
      </c>
      <c r="C1361" t="s">
        <v>90</v>
      </c>
      <c r="D1361" t="s">
        <v>66</v>
      </c>
      <c r="E1361" t="s">
        <v>1157</v>
      </c>
      <c r="F1361" s="13">
        <v>1</v>
      </c>
      <c r="G1361" s="14">
        <v>2594.48</v>
      </c>
      <c r="H1361" s="13">
        <v>234</v>
      </c>
      <c r="I1361" t="s">
        <v>77</v>
      </c>
    </row>
    <row r="1362" spans="1:9" x14ac:dyDescent="0.3">
      <c r="A1362">
        <v>3287</v>
      </c>
      <c r="B1362" t="s">
        <v>638</v>
      </c>
      <c r="C1362" t="s">
        <v>90</v>
      </c>
      <c r="D1362" t="s">
        <v>66</v>
      </c>
      <c r="E1362" t="s">
        <v>1157</v>
      </c>
      <c r="F1362" s="13">
        <v>2</v>
      </c>
      <c r="G1362" s="14">
        <v>695.17</v>
      </c>
      <c r="H1362" s="13">
        <v>234</v>
      </c>
      <c r="I1362" t="s">
        <v>77</v>
      </c>
    </row>
    <row r="1363" spans="1:9" x14ac:dyDescent="0.3">
      <c r="A1363">
        <v>3525</v>
      </c>
      <c r="B1363" t="s">
        <v>1159</v>
      </c>
      <c r="C1363" t="s">
        <v>92</v>
      </c>
      <c r="D1363" t="s">
        <v>64</v>
      </c>
      <c r="E1363" t="s">
        <v>1157</v>
      </c>
      <c r="F1363" s="13">
        <v>1</v>
      </c>
      <c r="G1363" s="14">
        <v>117.73</v>
      </c>
      <c r="H1363" s="13">
        <v>234</v>
      </c>
      <c r="I1363" t="s">
        <v>77</v>
      </c>
    </row>
    <row r="1364" spans="1:9" x14ac:dyDescent="0.3">
      <c r="A1364">
        <v>4978</v>
      </c>
      <c r="B1364" t="s">
        <v>335</v>
      </c>
      <c r="C1364" t="s">
        <v>92</v>
      </c>
      <c r="D1364" t="s">
        <v>64</v>
      </c>
      <c r="E1364" t="s">
        <v>1157</v>
      </c>
      <c r="F1364" s="13">
        <v>2</v>
      </c>
      <c r="G1364" s="14">
        <v>3829.1</v>
      </c>
      <c r="H1364" s="13">
        <v>234</v>
      </c>
      <c r="I1364" t="s">
        <v>77</v>
      </c>
    </row>
    <row r="1365" spans="1:9" x14ac:dyDescent="0.3">
      <c r="A1365">
        <v>5659</v>
      </c>
      <c r="B1365" t="s">
        <v>1160</v>
      </c>
      <c r="C1365" t="s">
        <v>92</v>
      </c>
      <c r="D1365" t="s">
        <v>64</v>
      </c>
      <c r="E1365" t="s">
        <v>1157</v>
      </c>
      <c r="F1365" s="13">
        <v>4</v>
      </c>
      <c r="G1365" s="14">
        <v>3947.37</v>
      </c>
      <c r="H1365" s="13">
        <v>234</v>
      </c>
      <c r="I1365" t="s">
        <v>77</v>
      </c>
    </row>
    <row r="1366" spans="1:9" x14ac:dyDescent="0.3">
      <c r="A1366">
        <v>7271</v>
      </c>
      <c r="B1366" t="s">
        <v>641</v>
      </c>
      <c r="C1366" t="s">
        <v>103</v>
      </c>
      <c r="D1366" t="s">
        <v>67</v>
      </c>
      <c r="E1366" t="s">
        <v>1157</v>
      </c>
      <c r="F1366" s="13">
        <v>2</v>
      </c>
      <c r="G1366" s="14">
        <v>1815.18</v>
      </c>
      <c r="H1366" s="13">
        <v>234</v>
      </c>
      <c r="I1366" t="s">
        <v>77</v>
      </c>
    </row>
    <row r="1367" spans="1:9" x14ac:dyDescent="0.3">
      <c r="A1367">
        <v>7827</v>
      </c>
      <c r="B1367" t="s">
        <v>199</v>
      </c>
      <c r="C1367" t="s">
        <v>137</v>
      </c>
      <c r="D1367" t="s">
        <v>64</v>
      </c>
      <c r="E1367" t="s">
        <v>1157</v>
      </c>
      <c r="F1367" s="13">
        <v>2</v>
      </c>
      <c r="G1367" s="14">
        <v>5947.78</v>
      </c>
      <c r="H1367" s="13">
        <v>234</v>
      </c>
      <c r="I1367" t="s">
        <v>77</v>
      </c>
    </row>
    <row r="1368" spans="1:9" x14ac:dyDescent="0.3">
      <c r="A1368">
        <v>1867</v>
      </c>
      <c r="B1368" t="s">
        <v>1161</v>
      </c>
      <c r="C1368" t="s">
        <v>97</v>
      </c>
      <c r="D1368" t="s">
        <v>65</v>
      </c>
      <c r="E1368" t="s">
        <v>1162</v>
      </c>
      <c r="F1368" s="13">
        <v>2</v>
      </c>
      <c r="G1368" s="14">
        <v>2593.7399999999998</v>
      </c>
      <c r="H1368" s="13">
        <v>233</v>
      </c>
      <c r="I1368" t="s">
        <v>77</v>
      </c>
    </row>
    <row r="1369" spans="1:9" x14ac:dyDescent="0.3">
      <c r="A1369">
        <v>3007</v>
      </c>
      <c r="B1369" t="s">
        <v>426</v>
      </c>
      <c r="C1369" t="s">
        <v>92</v>
      </c>
      <c r="D1369" t="s">
        <v>64</v>
      </c>
      <c r="E1369" t="s">
        <v>1162</v>
      </c>
      <c r="F1369" s="13">
        <v>3</v>
      </c>
      <c r="G1369" s="14">
        <v>2351.2800000000002</v>
      </c>
      <c r="H1369" s="13">
        <v>233</v>
      </c>
      <c r="I1369" t="s">
        <v>77</v>
      </c>
    </row>
    <row r="1370" spans="1:9" x14ac:dyDescent="0.3">
      <c r="A1370">
        <v>4723</v>
      </c>
      <c r="B1370" t="s">
        <v>1163</v>
      </c>
      <c r="C1370" t="s">
        <v>100</v>
      </c>
      <c r="D1370" t="s">
        <v>66</v>
      </c>
      <c r="E1370" t="s">
        <v>1162</v>
      </c>
      <c r="F1370" s="13">
        <v>2</v>
      </c>
      <c r="G1370" s="14">
        <v>261.01</v>
      </c>
      <c r="H1370" s="13">
        <v>233</v>
      </c>
      <c r="I1370" t="s">
        <v>77</v>
      </c>
    </row>
    <row r="1371" spans="1:9" x14ac:dyDescent="0.3">
      <c r="A1371">
        <v>5977</v>
      </c>
      <c r="B1371" t="s">
        <v>1164</v>
      </c>
      <c r="C1371" t="s">
        <v>137</v>
      </c>
      <c r="D1371" t="s">
        <v>64</v>
      </c>
      <c r="E1371" t="s">
        <v>1162</v>
      </c>
      <c r="F1371" s="13">
        <v>1</v>
      </c>
      <c r="G1371" s="14">
        <v>1046.0999999999999</v>
      </c>
      <c r="H1371" s="13">
        <v>233</v>
      </c>
      <c r="I1371" t="s">
        <v>77</v>
      </c>
    </row>
    <row r="1372" spans="1:9" x14ac:dyDescent="0.3">
      <c r="A1372">
        <v>7421</v>
      </c>
      <c r="B1372" t="s">
        <v>199</v>
      </c>
      <c r="C1372" t="s">
        <v>137</v>
      </c>
      <c r="D1372" t="s">
        <v>64</v>
      </c>
      <c r="E1372" t="s">
        <v>1162</v>
      </c>
      <c r="F1372" s="13">
        <v>1</v>
      </c>
      <c r="G1372" s="14">
        <v>3247.21</v>
      </c>
      <c r="H1372" s="13">
        <v>233</v>
      </c>
      <c r="I1372" t="s">
        <v>77</v>
      </c>
    </row>
    <row r="1373" spans="1:9" x14ac:dyDescent="0.3">
      <c r="A1373">
        <v>152</v>
      </c>
      <c r="B1373" t="s">
        <v>1165</v>
      </c>
      <c r="C1373" t="s">
        <v>249</v>
      </c>
      <c r="D1373" t="s">
        <v>67</v>
      </c>
      <c r="E1373" t="s">
        <v>1166</v>
      </c>
      <c r="F1373" s="13">
        <v>5</v>
      </c>
      <c r="G1373" s="14">
        <v>7037.43</v>
      </c>
      <c r="H1373" s="13">
        <v>232</v>
      </c>
      <c r="I1373" t="s">
        <v>77</v>
      </c>
    </row>
    <row r="1374" spans="1:9" x14ac:dyDescent="0.3">
      <c r="A1374">
        <v>519</v>
      </c>
      <c r="B1374" t="s">
        <v>259</v>
      </c>
      <c r="C1374" t="s">
        <v>473</v>
      </c>
      <c r="D1374" t="s">
        <v>68</v>
      </c>
      <c r="E1374" t="s">
        <v>1166</v>
      </c>
      <c r="F1374" s="13">
        <v>2</v>
      </c>
      <c r="G1374" s="14">
        <v>7583.81</v>
      </c>
      <c r="H1374" s="13">
        <v>232</v>
      </c>
      <c r="I1374" t="s">
        <v>77</v>
      </c>
    </row>
    <row r="1375" spans="1:9" x14ac:dyDescent="0.3">
      <c r="A1375">
        <v>1189</v>
      </c>
      <c r="B1375" t="s">
        <v>1167</v>
      </c>
      <c r="C1375" t="s">
        <v>137</v>
      </c>
      <c r="D1375" t="s">
        <v>64</v>
      </c>
      <c r="E1375" t="s">
        <v>1166</v>
      </c>
      <c r="F1375" s="13">
        <v>3</v>
      </c>
      <c r="G1375" s="14">
        <v>3796.44</v>
      </c>
      <c r="H1375" s="13">
        <v>232</v>
      </c>
      <c r="I1375" t="s">
        <v>77</v>
      </c>
    </row>
    <row r="1376" spans="1:9" x14ac:dyDescent="0.3">
      <c r="A1376">
        <v>1308</v>
      </c>
      <c r="B1376" t="s">
        <v>1168</v>
      </c>
      <c r="C1376" t="s">
        <v>137</v>
      </c>
      <c r="D1376" t="s">
        <v>64</v>
      </c>
      <c r="E1376" t="s">
        <v>1166</v>
      </c>
      <c r="F1376" s="13">
        <v>3</v>
      </c>
      <c r="G1376" s="14">
        <v>2264.14</v>
      </c>
      <c r="H1376" s="13">
        <v>232</v>
      </c>
      <c r="I1376" t="s">
        <v>77</v>
      </c>
    </row>
    <row r="1377" spans="1:9" x14ac:dyDescent="0.3">
      <c r="A1377">
        <v>1602</v>
      </c>
      <c r="B1377" t="s">
        <v>790</v>
      </c>
      <c r="C1377" t="s">
        <v>121</v>
      </c>
      <c r="D1377" t="s">
        <v>67</v>
      </c>
      <c r="E1377" t="s">
        <v>1166</v>
      </c>
      <c r="F1377" s="13">
        <v>1</v>
      </c>
      <c r="G1377" s="14">
        <v>592.88</v>
      </c>
      <c r="H1377" s="13">
        <v>232</v>
      </c>
      <c r="I1377" t="s">
        <v>77</v>
      </c>
    </row>
    <row r="1378" spans="1:9" x14ac:dyDescent="0.3">
      <c r="A1378">
        <v>1969</v>
      </c>
      <c r="B1378" t="s">
        <v>1169</v>
      </c>
      <c r="C1378" t="s">
        <v>97</v>
      </c>
      <c r="D1378" t="s">
        <v>65</v>
      </c>
      <c r="E1378" t="s">
        <v>1166</v>
      </c>
      <c r="F1378" s="13">
        <v>1</v>
      </c>
      <c r="G1378" s="14">
        <v>6960.64</v>
      </c>
      <c r="H1378" s="13">
        <v>232</v>
      </c>
      <c r="I1378" t="s">
        <v>77</v>
      </c>
    </row>
    <row r="1379" spans="1:9" x14ac:dyDescent="0.3">
      <c r="A1379">
        <v>2069</v>
      </c>
      <c r="B1379" t="s">
        <v>221</v>
      </c>
      <c r="C1379" t="s">
        <v>87</v>
      </c>
      <c r="D1379" t="s">
        <v>64</v>
      </c>
      <c r="E1379" t="s">
        <v>1166</v>
      </c>
      <c r="F1379" s="13">
        <v>1</v>
      </c>
      <c r="G1379" s="14">
        <v>1790.68</v>
      </c>
      <c r="H1379" s="13">
        <v>232</v>
      </c>
      <c r="I1379" t="s">
        <v>77</v>
      </c>
    </row>
    <row r="1380" spans="1:9" x14ac:dyDescent="0.3">
      <c r="A1380">
        <v>2699</v>
      </c>
      <c r="B1380" t="s">
        <v>1170</v>
      </c>
      <c r="C1380" t="s">
        <v>90</v>
      </c>
      <c r="D1380" t="s">
        <v>66</v>
      </c>
      <c r="E1380" t="s">
        <v>1166</v>
      </c>
      <c r="F1380" s="13">
        <v>1</v>
      </c>
      <c r="G1380" s="14">
        <v>912.58</v>
      </c>
      <c r="H1380" s="13">
        <v>232</v>
      </c>
      <c r="I1380" t="s">
        <v>77</v>
      </c>
    </row>
    <row r="1381" spans="1:9" x14ac:dyDescent="0.3">
      <c r="A1381">
        <v>4491</v>
      </c>
      <c r="B1381" t="s">
        <v>1171</v>
      </c>
      <c r="C1381" t="s">
        <v>97</v>
      </c>
      <c r="D1381" t="s">
        <v>65</v>
      </c>
      <c r="E1381" t="s">
        <v>1166</v>
      </c>
      <c r="F1381" s="13">
        <v>1</v>
      </c>
      <c r="G1381" s="14">
        <v>474.85</v>
      </c>
      <c r="H1381" s="13">
        <v>232</v>
      </c>
      <c r="I1381" t="s">
        <v>77</v>
      </c>
    </row>
    <row r="1382" spans="1:9" x14ac:dyDescent="0.3">
      <c r="A1382">
        <v>7685</v>
      </c>
      <c r="B1382" t="s">
        <v>1172</v>
      </c>
      <c r="C1382" t="s">
        <v>92</v>
      </c>
      <c r="D1382" t="s">
        <v>64</v>
      </c>
      <c r="E1382" t="s">
        <v>1166</v>
      </c>
      <c r="F1382" s="13">
        <v>1</v>
      </c>
      <c r="G1382" s="14">
        <v>4905.41</v>
      </c>
      <c r="H1382" s="13">
        <v>232</v>
      </c>
      <c r="I1382" t="s">
        <v>77</v>
      </c>
    </row>
    <row r="1383" spans="1:9" x14ac:dyDescent="0.3">
      <c r="A1383">
        <v>262</v>
      </c>
      <c r="B1383" t="s">
        <v>1013</v>
      </c>
      <c r="C1383" t="s">
        <v>97</v>
      </c>
      <c r="D1383" t="s">
        <v>65</v>
      </c>
      <c r="E1383" t="s">
        <v>1173</v>
      </c>
      <c r="F1383" s="13">
        <v>1</v>
      </c>
      <c r="G1383" s="14">
        <v>1115.3800000000001</v>
      </c>
      <c r="H1383" s="13">
        <v>231</v>
      </c>
      <c r="I1383" t="s">
        <v>77</v>
      </c>
    </row>
    <row r="1384" spans="1:9" x14ac:dyDescent="0.3">
      <c r="A1384">
        <v>751</v>
      </c>
      <c r="B1384" t="s">
        <v>1174</v>
      </c>
      <c r="C1384" t="s">
        <v>97</v>
      </c>
      <c r="D1384" t="s">
        <v>65</v>
      </c>
      <c r="E1384" t="s">
        <v>1173</v>
      </c>
      <c r="F1384" s="13">
        <v>1</v>
      </c>
      <c r="G1384" s="14">
        <v>4028.62</v>
      </c>
      <c r="H1384" s="13">
        <v>231</v>
      </c>
      <c r="I1384" t="s">
        <v>77</v>
      </c>
    </row>
    <row r="1385" spans="1:9" x14ac:dyDescent="0.3">
      <c r="A1385">
        <v>839</v>
      </c>
      <c r="B1385" t="s">
        <v>138</v>
      </c>
      <c r="C1385" t="s">
        <v>95</v>
      </c>
      <c r="D1385" t="s">
        <v>65</v>
      </c>
      <c r="E1385" t="s">
        <v>1173</v>
      </c>
      <c r="F1385" s="13">
        <v>2</v>
      </c>
      <c r="G1385" s="14">
        <v>1634.53</v>
      </c>
      <c r="H1385" s="13">
        <v>231</v>
      </c>
      <c r="I1385" t="s">
        <v>77</v>
      </c>
    </row>
    <row r="1386" spans="1:9" x14ac:dyDescent="0.3">
      <c r="A1386">
        <v>1469</v>
      </c>
      <c r="B1386" t="s">
        <v>1175</v>
      </c>
      <c r="C1386" t="s">
        <v>92</v>
      </c>
      <c r="D1386" t="s">
        <v>64</v>
      </c>
      <c r="E1386" t="s">
        <v>1173</v>
      </c>
      <c r="F1386" s="13">
        <v>3</v>
      </c>
      <c r="G1386" s="14">
        <v>8307.89</v>
      </c>
      <c r="H1386" s="13">
        <v>231</v>
      </c>
      <c r="I1386" t="s">
        <v>77</v>
      </c>
    </row>
    <row r="1387" spans="1:9" x14ac:dyDescent="0.3">
      <c r="A1387">
        <v>1666</v>
      </c>
      <c r="B1387" t="s">
        <v>951</v>
      </c>
      <c r="C1387" t="s">
        <v>133</v>
      </c>
      <c r="D1387" t="s">
        <v>64</v>
      </c>
      <c r="E1387" t="s">
        <v>1173</v>
      </c>
      <c r="F1387" s="13">
        <v>1</v>
      </c>
      <c r="G1387" s="14">
        <v>4947.6899999999996</v>
      </c>
      <c r="H1387" s="13">
        <v>231</v>
      </c>
      <c r="I1387" t="s">
        <v>77</v>
      </c>
    </row>
    <row r="1388" spans="1:9" x14ac:dyDescent="0.3">
      <c r="A1388">
        <v>4078</v>
      </c>
      <c r="B1388" t="s">
        <v>1176</v>
      </c>
      <c r="C1388" t="s">
        <v>249</v>
      </c>
      <c r="D1388" t="s">
        <v>67</v>
      </c>
      <c r="E1388" t="s">
        <v>1173</v>
      </c>
      <c r="F1388" s="13">
        <v>2</v>
      </c>
      <c r="G1388" s="14">
        <v>15858.25</v>
      </c>
      <c r="H1388" s="13">
        <v>231</v>
      </c>
      <c r="I1388" t="s">
        <v>77</v>
      </c>
    </row>
    <row r="1389" spans="1:9" x14ac:dyDescent="0.3">
      <c r="A1389">
        <v>4412</v>
      </c>
      <c r="B1389" t="s">
        <v>1177</v>
      </c>
      <c r="C1389" t="s">
        <v>100</v>
      </c>
      <c r="D1389" t="s">
        <v>66</v>
      </c>
      <c r="E1389" t="s">
        <v>1173</v>
      </c>
      <c r="F1389" s="13">
        <v>3</v>
      </c>
      <c r="G1389" s="14">
        <v>7481.44</v>
      </c>
      <c r="H1389" s="13">
        <v>231</v>
      </c>
      <c r="I1389" t="s">
        <v>77</v>
      </c>
    </row>
    <row r="1390" spans="1:9" x14ac:dyDescent="0.3">
      <c r="A1390">
        <v>8789</v>
      </c>
      <c r="B1390" t="s">
        <v>1178</v>
      </c>
      <c r="C1390" t="s">
        <v>114</v>
      </c>
      <c r="D1390" t="s">
        <v>66</v>
      </c>
      <c r="E1390" t="s">
        <v>1173</v>
      </c>
      <c r="F1390" s="13">
        <v>1</v>
      </c>
      <c r="G1390" s="14">
        <v>1126.05</v>
      </c>
      <c r="H1390" s="13">
        <v>231</v>
      </c>
      <c r="I1390" t="s">
        <v>77</v>
      </c>
    </row>
    <row r="1391" spans="1:9" x14ac:dyDescent="0.3">
      <c r="A1391">
        <v>326</v>
      </c>
      <c r="B1391" t="s">
        <v>318</v>
      </c>
      <c r="C1391" t="s">
        <v>121</v>
      </c>
      <c r="D1391" t="s">
        <v>67</v>
      </c>
      <c r="E1391" t="s">
        <v>1179</v>
      </c>
      <c r="F1391" s="13">
        <v>2</v>
      </c>
      <c r="G1391" s="14">
        <v>4276.6099999999997</v>
      </c>
      <c r="H1391" s="13">
        <v>230</v>
      </c>
      <c r="I1391" t="s">
        <v>77</v>
      </c>
    </row>
    <row r="1392" spans="1:9" x14ac:dyDescent="0.3">
      <c r="A1392">
        <v>623</v>
      </c>
      <c r="B1392" t="s">
        <v>1180</v>
      </c>
      <c r="C1392" t="s">
        <v>92</v>
      </c>
      <c r="D1392" t="s">
        <v>64</v>
      </c>
      <c r="E1392" t="s">
        <v>1179</v>
      </c>
      <c r="F1392" s="13">
        <v>4</v>
      </c>
      <c r="G1392" s="14">
        <v>6322.45</v>
      </c>
      <c r="H1392" s="13">
        <v>230</v>
      </c>
      <c r="I1392" t="s">
        <v>77</v>
      </c>
    </row>
    <row r="1393" spans="1:9" x14ac:dyDescent="0.3">
      <c r="A1393">
        <v>1459</v>
      </c>
      <c r="B1393" t="s">
        <v>1181</v>
      </c>
      <c r="C1393" t="s">
        <v>133</v>
      </c>
      <c r="D1393" t="s">
        <v>64</v>
      </c>
      <c r="E1393" t="s">
        <v>1179</v>
      </c>
      <c r="F1393" s="13">
        <v>1</v>
      </c>
      <c r="G1393" s="14">
        <v>720.37</v>
      </c>
      <c r="H1393" s="13">
        <v>230</v>
      </c>
      <c r="I1393" t="s">
        <v>77</v>
      </c>
    </row>
    <row r="1394" spans="1:9" x14ac:dyDescent="0.3">
      <c r="A1394">
        <v>1480</v>
      </c>
      <c r="B1394" t="s">
        <v>1182</v>
      </c>
      <c r="C1394" t="s">
        <v>92</v>
      </c>
      <c r="D1394" t="s">
        <v>64</v>
      </c>
      <c r="E1394" t="s">
        <v>1179</v>
      </c>
      <c r="F1394" s="13">
        <v>6</v>
      </c>
      <c r="G1394" s="14">
        <v>10319.549999999999</v>
      </c>
      <c r="H1394" s="13">
        <v>230</v>
      </c>
      <c r="I1394" t="s">
        <v>77</v>
      </c>
    </row>
    <row r="1395" spans="1:9" x14ac:dyDescent="0.3">
      <c r="A1395">
        <v>1726</v>
      </c>
      <c r="B1395" t="s">
        <v>1183</v>
      </c>
      <c r="C1395" t="s">
        <v>137</v>
      </c>
      <c r="D1395" t="s">
        <v>64</v>
      </c>
      <c r="E1395" t="s">
        <v>1179</v>
      </c>
      <c r="F1395" s="13">
        <v>1</v>
      </c>
      <c r="G1395" s="14">
        <v>930.41</v>
      </c>
      <c r="H1395" s="13">
        <v>230</v>
      </c>
      <c r="I1395" t="s">
        <v>77</v>
      </c>
    </row>
    <row r="1396" spans="1:9" x14ac:dyDescent="0.3">
      <c r="A1396">
        <v>2653</v>
      </c>
      <c r="B1396" t="s">
        <v>325</v>
      </c>
      <c r="C1396" t="s">
        <v>133</v>
      </c>
      <c r="D1396" t="s">
        <v>64</v>
      </c>
      <c r="E1396" t="s">
        <v>1179</v>
      </c>
      <c r="F1396" s="13">
        <v>2</v>
      </c>
      <c r="G1396" s="14">
        <v>617.17999999999995</v>
      </c>
      <c r="H1396" s="13">
        <v>230</v>
      </c>
      <c r="I1396" t="s">
        <v>77</v>
      </c>
    </row>
    <row r="1397" spans="1:9" x14ac:dyDescent="0.3">
      <c r="A1397">
        <v>2994</v>
      </c>
      <c r="B1397" t="s">
        <v>694</v>
      </c>
      <c r="C1397" t="s">
        <v>137</v>
      </c>
      <c r="D1397" t="s">
        <v>64</v>
      </c>
      <c r="E1397" t="s">
        <v>1179</v>
      </c>
      <c r="F1397" s="13">
        <v>2</v>
      </c>
      <c r="G1397" s="14">
        <v>1522.9</v>
      </c>
      <c r="H1397" s="13">
        <v>230</v>
      </c>
      <c r="I1397" t="s">
        <v>77</v>
      </c>
    </row>
    <row r="1398" spans="1:9" x14ac:dyDescent="0.3">
      <c r="A1398">
        <v>3516</v>
      </c>
      <c r="B1398" t="s">
        <v>1184</v>
      </c>
      <c r="C1398" t="s">
        <v>92</v>
      </c>
      <c r="D1398" t="s">
        <v>64</v>
      </c>
      <c r="E1398" t="s">
        <v>1179</v>
      </c>
      <c r="F1398" s="13">
        <v>2</v>
      </c>
      <c r="G1398" s="14">
        <v>3239.06</v>
      </c>
      <c r="H1398" s="13">
        <v>230</v>
      </c>
      <c r="I1398" t="s">
        <v>77</v>
      </c>
    </row>
    <row r="1399" spans="1:9" x14ac:dyDescent="0.3">
      <c r="A1399">
        <v>4492</v>
      </c>
      <c r="B1399" t="s">
        <v>388</v>
      </c>
      <c r="C1399" t="s">
        <v>92</v>
      </c>
      <c r="D1399" t="s">
        <v>64</v>
      </c>
      <c r="E1399" t="s">
        <v>1179</v>
      </c>
      <c r="F1399" s="13">
        <v>1</v>
      </c>
      <c r="G1399" s="14">
        <v>4393.22</v>
      </c>
      <c r="H1399" s="13">
        <v>230</v>
      </c>
      <c r="I1399" t="s">
        <v>77</v>
      </c>
    </row>
    <row r="1400" spans="1:9" x14ac:dyDescent="0.3">
      <c r="A1400">
        <v>4873</v>
      </c>
      <c r="B1400" t="s">
        <v>540</v>
      </c>
      <c r="C1400" t="s">
        <v>137</v>
      </c>
      <c r="D1400" t="s">
        <v>64</v>
      </c>
      <c r="E1400" t="s">
        <v>1179</v>
      </c>
      <c r="F1400" s="13">
        <v>5</v>
      </c>
      <c r="G1400" s="14">
        <v>5302.13</v>
      </c>
      <c r="H1400" s="13">
        <v>230</v>
      </c>
      <c r="I1400" t="s">
        <v>77</v>
      </c>
    </row>
    <row r="1401" spans="1:9" x14ac:dyDescent="0.3">
      <c r="A1401">
        <v>6780</v>
      </c>
      <c r="B1401" t="s">
        <v>400</v>
      </c>
      <c r="C1401" t="s">
        <v>92</v>
      </c>
      <c r="D1401" t="s">
        <v>64</v>
      </c>
      <c r="E1401" t="s">
        <v>1179</v>
      </c>
      <c r="F1401" s="13">
        <v>1</v>
      </c>
      <c r="G1401" s="14">
        <v>243.45</v>
      </c>
      <c r="H1401" s="13">
        <v>230</v>
      </c>
      <c r="I1401" t="s">
        <v>77</v>
      </c>
    </row>
    <row r="1402" spans="1:9" x14ac:dyDescent="0.3">
      <c r="A1402">
        <v>8242</v>
      </c>
      <c r="B1402" t="s">
        <v>382</v>
      </c>
      <c r="C1402" t="s">
        <v>95</v>
      </c>
      <c r="D1402" t="s">
        <v>65</v>
      </c>
      <c r="E1402" t="s">
        <v>1179</v>
      </c>
      <c r="F1402" s="13">
        <v>2</v>
      </c>
      <c r="G1402" s="14">
        <v>3280.92</v>
      </c>
      <c r="H1402" s="13">
        <v>230</v>
      </c>
      <c r="I1402" t="s">
        <v>77</v>
      </c>
    </row>
    <row r="1403" spans="1:9" x14ac:dyDescent="0.3">
      <c r="A1403">
        <v>8274</v>
      </c>
      <c r="B1403" t="s">
        <v>1185</v>
      </c>
      <c r="C1403" t="s">
        <v>92</v>
      </c>
      <c r="D1403" t="s">
        <v>64</v>
      </c>
      <c r="E1403" t="s">
        <v>1179</v>
      </c>
      <c r="F1403" s="13">
        <v>4</v>
      </c>
      <c r="G1403" s="14">
        <v>6569.41</v>
      </c>
      <c r="H1403" s="13">
        <v>230</v>
      </c>
      <c r="I1403" t="s">
        <v>77</v>
      </c>
    </row>
    <row r="1404" spans="1:9" x14ac:dyDescent="0.3">
      <c r="A1404">
        <v>8467</v>
      </c>
      <c r="B1404" t="s">
        <v>668</v>
      </c>
      <c r="C1404" t="s">
        <v>92</v>
      </c>
      <c r="D1404" t="s">
        <v>64</v>
      </c>
      <c r="E1404" t="s">
        <v>1179</v>
      </c>
      <c r="F1404" s="13">
        <v>2</v>
      </c>
      <c r="G1404" s="14">
        <v>509.9</v>
      </c>
      <c r="H1404" s="13">
        <v>230</v>
      </c>
      <c r="I1404" t="s">
        <v>77</v>
      </c>
    </row>
    <row r="1405" spans="1:9" x14ac:dyDescent="0.3">
      <c r="A1405">
        <v>13</v>
      </c>
      <c r="B1405" t="s">
        <v>252</v>
      </c>
      <c r="C1405" t="s">
        <v>90</v>
      </c>
      <c r="D1405" t="s">
        <v>66</v>
      </c>
      <c r="E1405" t="s">
        <v>1186</v>
      </c>
      <c r="F1405" s="13">
        <v>4</v>
      </c>
      <c r="G1405" s="14">
        <v>15517.82</v>
      </c>
      <c r="H1405" s="13">
        <v>229</v>
      </c>
      <c r="I1405" t="s">
        <v>77</v>
      </c>
    </row>
    <row r="1406" spans="1:9" x14ac:dyDescent="0.3">
      <c r="A1406">
        <v>358</v>
      </c>
      <c r="B1406" t="s">
        <v>1187</v>
      </c>
      <c r="C1406" t="s">
        <v>92</v>
      </c>
      <c r="D1406" t="s">
        <v>64</v>
      </c>
      <c r="E1406" t="s">
        <v>1186</v>
      </c>
      <c r="F1406" s="13">
        <v>1</v>
      </c>
      <c r="G1406" s="14">
        <v>1701.45</v>
      </c>
      <c r="H1406" s="13">
        <v>229</v>
      </c>
      <c r="I1406" t="s">
        <v>77</v>
      </c>
    </row>
    <row r="1407" spans="1:9" x14ac:dyDescent="0.3">
      <c r="A1407">
        <v>944</v>
      </c>
      <c r="B1407" t="s">
        <v>870</v>
      </c>
      <c r="C1407" t="s">
        <v>133</v>
      </c>
      <c r="D1407" t="s">
        <v>64</v>
      </c>
      <c r="E1407" t="s">
        <v>1186</v>
      </c>
      <c r="F1407" s="13">
        <v>2</v>
      </c>
      <c r="G1407" s="14">
        <v>7149.85</v>
      </c>
      <c r="H1407" s="13">
        <v>229</v>
      </c>
      <c r="I1407" t="s">
        <v>77</v>
      </c>
    </row>
    <row r="1408" spans="1:9" x14ac:dyDescent="0.3">
      <c r="A1408">
        <v>4339</v>
      </c>
      <c r="B1408" t="s">
        <v>1188</v>
      </c>
      <c r="C1408" t="s">
        <v>121</v>
      </c>
      <c r="D1408" t="s">
        <v>67</v>
      </c>
      <c r="E1408" t="s">
        <v>1186</v>
      </c>
      <c r="F1408" s="13">
        <v>2</v>
      </c>
      <c r="G1408" s="14">
        <v>4354.17</v>
      </c>
      <c r="H1408" s="13">
        <v>229</v>
      </c>
      <c r="I1408" t="s">
        <v>77</v>
      </c>
    </row>
    <row r="1409" spans="1:9" x14ac:dyDescent="0.3">
      <c r="A1409">
        <v>5846</v>
      </c>
      <c r="B1409" t="s">
        <v>1189</v>
      </c>
      <c r="C1409" t="s">
        <v>137</v>
      </c>
      <c r="D1409" t="s">
        <v>64</v>
      </c>
      <c r="E1409" t="s">
        <v>1186</v>
      </c>
      <c r="F1409" s="13">
        <v>4</v>
      </c>
      <c r="G1409" s="14">
        <v>6093.02</v>
      </c>
      <c r="H1409" s="13">
        <v>229</v>
      </c>
      <c r="I1409" t="s">
        <v>77</v>
      </c>
    </row>
    <row r="1410" spans="1:9" x14ac:dyDescent="0.3">
      <c r="A1410">
        <v>6146</v>
      </c>
      <c r="B1410" t="s">
        <v>1190</v>
      </c>
      <c r="C1410" t="s">
        <v>90</v>
      </c>
      <c r="D1410" t="s">
        <v>66</v>
      </c>
      <c r="E1410" t="s">
        <v>1186</v>
      </c>
      <c r="F1410" s="13">
        <v>1</v>
      </c>
      <c r="G1410" s="14">
        <v>3244.5</v>
      </c>
      <c r="H1410" s="13">
        <v>229</v>
      </c>
      <c r="I1410" t="s">
        <v>77</v>
      </c>
    </row>
    <row r="1411" spans="1:9" x14ac:dyDescent="0.3">
      <c r="A1411">
        <v>6576</v>
      </c>
      <c r="B1411" t="s">
        <v>641</v>
      </c>
      <c r="C1411" t="s">
        <v>100</v>
      </c>
      <c r="D1411" t="s">
        <v>66</v>
      </c>
      <c r="E1411" t="s">
        <v>1186</v>
      </c>
      <c r="F1411" s="13">
        <v>2</v>
      </c>
      <c r="G1411" s="14">
        <v>703.59</v>
      </c>
      <c r="H1411" s="13">
        <v>229</v>
      </c>
      <c r="I1411" t="s">
        <v>77</v>
      </c>
    </row>
    <row r="1412" spans="1:9" x14ac:dyDescent="0.3">
      <c r="A1412">
        <v>7254</v>
      </c>
      <c r="B1412" t="s">
        <v>208</v>
      </c>
      <c r="C1412" t="s">
        <v>90</v>
      </c>
      <c r="D1412" t="s">
        <v>66</v>
      </c>
      <c r="E1412" t="s">
        <v>1186</v>
      </c>
      <c r="F1412" s="13">
        <v>1</v>
      </c>
      <c r="G1412" s="14">
        <v>2728.21</v>
      </c>
      <c r="H1412" s="13">
        <v>229</v>
      </c>
      <c r="I1412" t="s">
        <v>77</v>
      </c>
    </row>
    <row r="1413" spans="1:9" x14ac:dyDescent="0.3">
      <c r="A1413">
        <v>127</v>
      </c>
      <c r="B1413" t="s">
        <v>760</v>
      </c>
      <c r="C1413" t="s">
        <v>92</v>
      </c>
      <c r="D1413" t="s">
        <v>64</v>
      </c>
      <c r="E1413" t="s">
        <v>1191</v>
      </c>
      <c r="F1413" s="13">
        <v>1</v>
      </c>
      <c r="G1413" s="14">
        <v>231.78</v>
      </c>
      <c r="H1413" s="13">
        <v>228</v>
      </c>
      <c r="I1413" t="s">
        <v>77</v>
      </c>
    </row>
    <row r="1414" spans="1:9" x14ac:dyDescent="0.3">
      <c r="A1414">
        <v>464</v>
      </c>
      <c r="B1414" t="s">
        <v>1192</v>
      </c>
      <c r="C1414" t="s">
        <v>473</v>
      </c>
      <c r="D1414" t="s">
        <v>68</v>
      </c>
      <c r="E1414" t="s">
        <v>1191</v>
      </c>
      <c r="F1414" s="13">
        <v>1</v>
      </c>
      <c r="G1414" s="14">
        <v>685.68</v>
      </c>
      <c r="H1414" s="13">
        <v>228</v>
      </c>
      <c r="I1414" t="s">
        <v>77</v>
      </c>
    </row>
    <row r="1415" spans="1:9" x14ac:dyDescent="0.3">
      <c r="A1415">
        <v>3174</v>
      </c>
      <c r="B1415" t="s">
        <v>662</v>
      </c>
      <c r="C1415" t="s">
        <v>92</v>
      </c>
      <c r="D1415" t="s">
        <v>64</v>
      </c>
      <c r="E1415" t="s">
        <v>1191</v>
      </c>
      <c r="F1415" s="13">
        <v>3</v>
      </c>
      <c r="G1415" s="14">
        <v>4456.34</v>
      </c>
      <c r="H1415" s="13">
        <v>228</v>
      </c>
      <c r="I1415" t="s">
        <v>77</v>
      </c>
    </row>
    <row r="1416" spans="1:9" x14ac:dyDescent="0.3">
      <c r="A1416">
        <v>4933</v>
      </c>
      <c r="B1416" t="s">
        <v>423</v>
      </c>
      <c r="C1416" t="s">
        <v>133</v>
      </c>
      <c r="D1416" t="s">
        <v>64</v>
      </c>
      <c r="E1416" t="s">
        <v>1191</v>
      </c>
      <c r="F1416" s="13">
        <v>2</v>
      </c>
      <c r="G1416" s="14">
        <v>210.45</v>
      </c>
      <c r="H1416" s="13">
        <v>228</v>
      </c>
      <c r="I1416" t="s">
        <v>77</v>
      </c>
    </row>
    <row r="1417" spans="1:9" x14ac:dyDescent="0.3">
      <c r="A1417">
        <v>5566</v>
      </c>
      <c r="B1417" t="s">
        <v>448</v>
      </c>
      <c r="C1417" t="s">
        <v>123</v>
      </c>
      <c r="D1417" t="s">
        <v>65</v>
      </c>
      <c r="E1417" t="s">
        <v>1191</v>
      </c>
      <c r="F1417" s="13">
        <v>1</v>
      </c>
      <c r="G1417" s="14">
        <v>364.56</v>
      </c>
      <c r="H1417" s="13">
        <v>228</v>
      </c>
      <c r="I1417" t="s">
        <v>77</v>
      </c>
    </row>
    <row r="1418" spans="1:9" x14ac:dyDescent="0.3">
      <c r="A1418">
        <v>5608</v>
      </c>
      <c r="B1418" t="s">
        <v>423</v>
      </c>
      <c r="C1418" t="s">
        <v>92</v>
      </c>
      <c r="D1418" t="s">
        <v>64</v>
      </c>
      <c r="E1418" t="s">
        <v>1191</v>
      </c>
      <c r="F1418" s="13">
        <v>2</v>
      </c>
      <c r="G1418" s="14">
        <v>1808.45</v>
      </c>
      <c r="H1418" s="13">
        <v>228</v>
      </c>
      <c r="I1418" t="s">
        <v>77</v>
      </c>
    </row>
    <row r="1419" spans="1:9" x14ac:dyDescent="0.3">
      <c r="A1419">
        <v>6172</v>
      </c>
      <c r="B1419" t="s">
        <v>645</v>
      </c>
      <c r="C1419" t="s">
        <v>249</v>
      </c>
      <c r="D1419" t="s">
        <v>67</v>
      </c>
      <c r="E1419" t="s">
        <v>1191</v>
      </c>
      <c r="F1419" s="13">
        <v>1</v>
      </c>
      <c r="G1419" s="14">
        <v>9439.6200000000008</v>
      </c>
      <c r="H1419" s="13">
        <v>228</v>
      </c>
      <c r="I1419" t="s">
        <v>77</v>
      </c>
    </row>
    <row r="1420" spans="1:9" x14ac:dyDescent="0.3">
      <c r="A1420">
        <v>813</v>
      </c>
      <c r="B1420" t="s">
        <v>1193</v>
      </c>
      <c r="C1420" t="s">
        <v>137</v>
      </c>
      <c r="D1420" t="s">
        <v>64</v>
      </c>
      <c r="E1420" t="s">
        <v>1194</v>
      </c>
      <c r="F1420" s="13">
        <v>3</v>
      </c>
      <c r="G1420" s="14">
        <v>4432.34</v>
      </c>
      <c r="H1420" s="13">
        <v>227</v>
      </c>
      <c r="I1420" t="s">
        <v>77</v>
      </c>
    </row>
    <row r="1421" spans="1:9" x14ac:dyDescent="0.3">
      <c r="A1421">
        <v>3108</v>
      </c>
      <c r="B1421" t="s">
        <v>113</v>
      </c>
      <c r="C1421" t="s">
        <v>100</v>
      </c>
      <c r="D1421" t="s">
        <v>66</v>
      </c>
      <c r="E1421" t="s">
        <v>1194</v>
      </c>
      <c r="F1421" s="13">
        <v>1</v>
      </c>
      <c r="G1421" s="14">
        <v>1853.41</v>
      </c>
      <c r="H1421" s="13">
        <v>227</v>
      </c>
      <c r="I1421" t="s">
        <v>77</v>
      </c>
    </row>
    <row r="1422" spans="1:9" x14ac:dyDescent="0.3">
      <c r="A1422">
        <v>3183</v>
      </c>
      <c r="B1422" t="s">
        <v>293</v>
      </c>
      <c r="C1422" t="s">
        <v>97</v>
      </c>
      <c r="D1422" t="s">
        <v>65</v>
      </c>
      <c r="E1422" t="s">
        <v>1194</v>
      </c>
      <c r="F1422" s="13">
        <v>1</v>
      </c>
      <c r="G1422" s="14">
        <v>1617.8</v>
      </c>
      <c r="H1422" s="13">
        <v>227</v>
      </c>
      <c r="I1422" t="s">
        <v>77</v>
      </c>
    </row>
    <row r="1423" spans="1:9" x14ac:dyDescent="0.3">
      <c r="A1423">
        <v>3867</v>
      </c>
      <c r="B1423" t="s">
        <v>645</v>
      </c>
      <c r="C1423" t="s">
        <v>87</v>
      </c>
      <c r="D1423" t="s">
        <v>64</v>
      </c>
      <c r="E1423" t="s">
        <v>1194</v>
      </c>
      <c r="F1423" s="13">
        <v>1</v>
      </c>
      <c r="G1423" s="14">
        <v>2385.36</v>
      </c>
      <c r="H1423" s="13">
        <v>227</v>
      </c>
      <c r="I1423" t="s">
        <v>77</v>
      </c>
    </row>
    <row r="1424" spans="1:9" x14ac:dyDescent="0.3">
      <c r="A1424">
        <v>4614</v>
      </c>
      <c r="B1424" t="s">
        <v>142</v>
      </c>
      <c r="C1424" t="s">
        <v>100</v>
      </c>
      <c r="D1424" t="s">
        <v>66</v>
      </c>
      <c r="E1424" t="s">
        <v>1194</v>
      </c>
      <c r="F1424" s="13">
        <v>3</v>
      </c>
      <c r="G1424" s="14">
        <v>3675.09</v>
      </c>
      <c r="H1424" s="13">
        <v>227</v>
      </c>
      <c r="I1424" t="s">
        <v>77</v>
      </c>
    </row>
    <row r="1425" spans="1:9" x14ac:dyDescent="0.3">
      <c r="A1425">
        <v>5161</v>
      </c>
      <c r="B1425" t="s">
        <v>149</v>
      </c>
      <c r="C1425" t="s">
        <v>100</v>
      </c>
      <c r="D1425" t="s">
        <v>66</v>
      </c>
      <c r="E1425" t="s">
        <v>1194</v>
      </c>
      <c r="F1425" s="13">
        <v>1</v>
      </c>
      <c r="G1425" s="14">
        <v>836.09</v>
      </c>
      <c r="H1425" s="13">
        <v>227</v>
      </c>
      <c r="I1425" t="s">
        <v>77</v>
      </c>
    </row>
    <row r="1426" spans="1:9" x14ac:dyDescent="0.3">
      <c r="A1426">
        <v>5834</v>
      </c>
      <c r="B1426" t="s">
        <v>175</v>
      </c>
      <c r="C1426" t="s">
        <v>92</v>
      </c>
      <c r="D1426" t="s">
        <v>64</v>
      </c>
      <c r="E1426" t="s">
        <v>1194</v>
      </c>
      <c r="F1426" s="13">
        <v>6</v>
      </c>
      <c r="G1426" s="14">
        <v>19183.88</v>
      </c>
      <c r="H1426" s="13">
        <v>227</v>
      </c>
      <c r="I1426" t="s">
        <v>77</v>
      </c>
    </row>
    <row r="1427" spans="1:9" x14ac:dyDescent="0.3">
      <c r="A1427">
        <v>7843</v>
      </c>
      <c r="B1427" t="s">
        <v>1195</v>
      </c>
      <c r="C1427" t="s">
        <v>114</v>
      </c>
      <c r="D1427" t="s">
        <v>66</v>
      </c>
      <c r="E1427" t="s">
        <v>1194</v>
      </c>
      <c r="F1427" s="13">
        <v>3</v>
      </c>
      <c r="G1427" s="14">
        <v>11746.4</v>
      </c>
      <c r="H1427" s="13">
        <v>227</v>
      </c>
      <c r="I1427" t="s">
        <v>77</v>
      </c>
    </row>
    <row r="1428" spans="1:9" x14ac:dyDescent="0.3">
      <c r="A1428">
        <v>8689</v>
      </c>
      <c r="B1428" t="s">
        <v>323</v>
      </c>
      <c r="C1428" t="s">
        <v>92</v>
      </c>
      <c r="D1428" t="s">
        <v>64</v>
      </c>
      <c r="E1428" t="s">
        <v>1194</v>
      </c>
      <c r="F1428" s="13">
        <v>4</v>
      </c>
      <c r="G1428" s="14">
        <v>16264.38</v>
      </c>
      <c r="H1428" s="13">
        <v>227</v>
      </c>
      <c r="I1428" t="s">
        <v>77</v>
      </c>
    </row>
    <row r="1429" spans="1:9" x14ac:dyDescent="0.3">
      <c r="A1429">
        <v>1767</v>
      </c>
      <c r="B1429" t="s">
        <v>274</v>
      </c>
      <c r="C1429" t="s">
        <v>137</v>
      </c>
      <c r="D1429" t="s">
        <v>64</v>
      </c>
      <c r="E1429" t="s">
        <v>1196</v>
      </c>
      <c r="F1429" s="13">
        <v>1</v>
      </c>
      <c r="G1429" s="14">
        <v>1009.61</v>
      </c>
      <c r="H1429" s="13">
        <v>226</v>
      </c>
      <c r="I1429" t="s">
        <v>77</v>
      </c>
    </row>
    <row r="1430" spans="1:9" x14ac:dyDescent="0.3">
      <c r="A1430">
        <v>4185</v>
      </c>
      <c r="B1430" t="s">
        <v>662</v>
      </c>
      <c r="C1430" t="s">
        <v>103</v>
      </c>
      <c r="D1430" t="s">
        <v>67</v>
      </c>
      <c r="E1430" t="s">
        <v>1196</v>
      </c>
      <c r="F1430" s="13">
        <v>2</v>
      </c>
      <c r="G1430" s="14">
        <v>7780.58</v>
      </c>
      <c r="H1430" s="13">
        <v>226</v>
      </c>
      <c r="I1430" t="s">
        <v>77</v>
      </c>
    </row>
    <row r="1431" spans="1:9" x14ac:dyDescent="0.3">
      <c r="A1431">
        <v>5715</v>
      </c>
      <c r="B1431" t="s">
        <v>318</v>
      </c>
      <c r="C1431" t="s">
        <v>95</v>
      </c>
      <c r="D1431" t="s">
        <v>65</v>
      </c>
      <c r="E1431" t="s">
        <v>1196</v>
      </c>
      <c r="F1431" s="13">
        <v>3</v>
      </c>
      <c r="G1431" s="14">
        <v>6964.51</v>
      </c>
      <c r="H1431" s="13">
        <v>226</v>
      </c>
      <c r="I1431" t="s">
        <v>77</v>
      </c>
    </row>
    <row r="1432" spans="1:9" x14ac:dyDescent="0.3">
      <c r="A1432">
        <v>6159</v>
      </c>
      <c r="B1432" t="s">
        <v>135</v>
      </c>
      <c r="C1432" t="s">
        <v>114</v>
      </c>
      <c r="D1432" t="s">
        <v>66</v>
      </c>
      <c r="E1432" t="s">
        <v>1196</v>
      </c>
      <c r="F1432" s="13">
        <v>5</v>
      </c>
      <c r="G1432" s="14">
        <v>6454.17</v>
      </c>
      <c r="H1432" s="13">
        <v>226</v>
      </c>
      <c r="I1432" t="s">
        <v>77</v>
      </c>
    </row>
    <row r="1433" spans="1:9" x14ac:dyDescent="0.3">
      <c r="A1433">
        <v>6847</v>
      </c>
      <c r="B1433" t="s">
        <v>1197</v>
      </c>
      <c r="C1433" t="s">
        <v>92</v>
      </c>
      <c r="D1433" t="s">
        <v>64</v>
      </c>
      <c r="E1433" t="s">
        <v>1196</v>
      </c>
      <c r="F1433" s="13">
        <v>1</v>
      </c>
      <c r="G1433" s="14">
        <v>439.05</v>
      </c>
      <c r="H1433" s="13">
        <v>226</v>
      </c>
      <c r="I1433" t="s">
        <v>77</v>
      </c>
    </row>
    <row r="1434" spans="1:9" x14ac:dyDescent="0.3">
      <c r="A1434">
        <v>8901</v>
      </c>
      <c r="B1434" t="s">
        <v>1025</v>
      </c>
      <c r="C1434" t="s">
        <v>137</v>
      </c>
      <c r="D1434" t="s">
        <v>64</v>
      </c>
      <c r="E1434" t="s">
        <v>1196</v>
      </c>
      <c r="F1434" s="13">
        <v>2</v>
      </c>
      <c r="G1434" s="14">
        <v>2585.81</v>
      </c>
      <c r="H1434" s="13">
        <v>226</v>
      </c>
      <c r="I1434" t="s">
        <v>77</v>
      </c>
    </row>
    <row r="1435" spans="1:9" x14ac:dyDescent="0.3">
      <c r="A1435">
        <v>621</v>
      </c>
      <c r="B1435" t="s">
        <v>1198</v>
      </c>
      <c r="C1435" t="s">
        <v>123</v>
      </c>
      <c r="D1435" t="s">
        <v>65</v>
      </c>
      <c r="E1435" t="s">
        <v>1199</v>
      </c>
      <c r="F1435" s="13">
        <v>5</v>
      </c>
      <c r="G1435" s="14">
        <v>12833.16</v>
      </c>
      <c r="H1435" s="13">
        <v>225</v>
      </c>
      <c r="I1435" t="s">
        <v>77</v>
      </c>
    </row>
    <row r="1436" spans="1:9" x14ac:dyDescent="0.3">
      <c r="A1436">
        <v>1214</v>
      </c>
      <c r="B1436" t="s">
        <v>494</v>
      </c>
      <c r="C1436" t="s">
        <v>92</v>
      </c>
      <c r="D1436" t="s">
        <v>64</v>
      </c>
      <c r="E1436" t="s">
        <v>1199</v>
      </c>
      <c r="F1436" s="13">
        <v>1</v>
      </c>
      <c r="G1436" s="14">
        <v>854.76</v>
      </c>
      <c r="H1436" s="13">
        <v>225</v>
      </c>
      <c r="I1436" t="s">
        <v>77</v>
      </c>
    </row>
    <row r="1437" spans="1:9" x14ac:dyDescent="0.3">
      <c r="A1437">
        <v>1905</v>
      </c>
      <c r="B1437" t="s">
        <v>382</v>
      </c>
      <c r="C1437" t="s">
        <v>103</v>
      </c>
      <c r="D1437" t="s">
        <v>67</v>
      </c>
      <c r="E1437" t="s">
        <v>1199</v>
      </c>
      <c r="F1437" s="13">
        <v>1</v>
      </c>
      <c r="G1437" s="14">
        <v>1058.1600000000001</v>
      </c>
      <c r="H1437" s="13">
        <v>225</v>
      </c>
      <c r="I1437" t="s">
        <v>77</v>
      </c>
    </row>
    <row r="1438" spans="1:9" x14ac:dyDescent="0.3">
      <c r="A1438">
        <v>2171</v>
      </c>
      <c r="B1438" t="s">
        <v>760</v>
      </c>
      <c r="C1438" t="s">
        <v>95</v>
      </c>
      <c r="D1438" t="s">
        <v>65</v>
      </c>
      <c r="E1438" t="s">
        <v>1199</v>
      </c>
      <c r="F1438" s="13">
        <v>2</v>
      </c>
      <c r="G1438" s="14">
        <v>2938.05</v>
      </c>
      <c r="H1438" s="13">
        <v>225</v>
      </c>
      <c r="I1438" t="s">
        <v>77</v>
      </c>
    </row>
    <row r="1439" spans="1:9" x14ac:dyDescent="0.3">
      <c r="A1439">
        <v>2942</v>
      </c>
      <c r="B1439" t="s">
        <v>1200</v>
      </c>
      <c r="C1439" t="s">
        <v>103</v>
      </c>
      <c r="D1439" t="s">
        <v>67</v>
      </c>
      <c r="E1439" t="s">
        <v>1199</v>
      </c>
      <c r="F1439" s="13">
        <v>1</v>
      </c>
      <c r="G1439" s="14">
        <v>3931.42</v>
      </c>
      <c r="H1439" s="13">
        <v>225</v>
      </c>
      <c r="I1439" t="s">
        <v>77</v>
      </c>
    </row>
    <row r="1440" spans="1:9" x14ac:dyDescent="0.3">
      <c r="A1440">
        <v>3827</v>
      </c>
      <c r="B1440" t="s">
        <v>760</v>
      </c>
      <c r="C1440" t="s">
        <v>92</v>
      </c>
      <c r="D1440" t="s">
        <v>64</v>
      </c>
      <c r="E1440" t="s">
        <v>1199</v>
      </c>
      <c r="F1440" s="13">
        <v>1</v>
      </c>
      <c r="G1440" s="14">
        <v>4980.78</v>
      </c>
      <c r="H1440" s="13">
        <v>225</v>
      </c>
      <c r="I1440" t="s">
        <v>77</v>
      </c>
    </row>
    <row r="1441" spans="1:9" x14ac:dyDescent="0.3">
      <c r="A1441">
        <v>4298</v>
      </c>
      <c r="B1441" t="s">
        <v>371</v>
      </c>
      <c r="C1441" t="s">
        <v>92</v>
      </c>
      <c r="D1441" t="s">
        <v>64</v>
      </c>
      <c r="E1441" t="s">
        <v>1199</v>
      </c>
      <c r="F1441" s="13">
        <v>1</v>
      </c>
      <c r="G1441" s="14">
        <v>5259.06</v>
      </c>
      <c r="H1441" s="13">
        <v>225</v>
      </c>
      <c r="I1441" t="s">
        <v>77</v>
      </c>
    </row>
    <row r="1442" spans="1:9" x14ac:dyDescent="0.3">
      <c r="A1442">
        <v>4851</v>
      </c>
      <c r="B1442" t="s">
        <v>277</v>
      </c>
      <c r="C1442" t="s">
        <v>123</v>
      </c>
      <c r="D1442" t="s">
        <v>65</v>
      </c>
      <c r="E1442" t="s">
        <v>1199</v>
      </c>
      <c r="F1442" s="13">
        <v>1</v>
      </c>
      <c r="G1442" s="14">
        <v>162.58000000000001</v>
      </c>
      <c r="H1442" s="13">
        <v>225</v>
      </c>
      <c r="I1442" t="s">
        <v>77</v>
      </c>
    </row>
    <row r="1443" spans="1:9" x14ac:dyDescent="0.3">
      <c r="A1443">
        <v>8290</v>
      </c>
      <c r="B1443" t="s">
        <v>1201</v>
      </c>
      <c r="C1443" t="s">
        <v>137</v>
      </c>
      <c r="D1443" t="s">
        <v>64</v>
      </c>
      <c r="E1443" t="s">
        <v>1199</v>
      </c>
      <c r="F1443" s="13">
        <v>2</v>
      </c>
      <c r="G1443" s="14">
        <v>916.85</v>
      </c>
      <c r="H1443" s="13">
        <v>225</v>
      </c>
      <c r="I1443" t="s">
        <v>77</v>
      </c>
    </row>
    <row r="1444" spans="1:9" x14ac:dyDescent="0.3">
      <c r="A1444">
        <v>8906</v>
      </c>
      <c r="B1444" t="s">
        <v>382</v>
      </c>
      <c r="C1444" t="s">
        <v>137</v>
      </c>
      <c r="D1444" t="s">
        <v>64</v>
      </c>
      <c r="E1444" t="s">
        <v>1199</v>
      </c>
      <c r="F1444" s="13">
        <v>3</v>
      </c>
      <c r="G1444" s="14">
        <v>7149.8</v>
      </c>
      <c r="H1444" s="13">
        <v>225</v>
      </c>
      <c r="I1444" t="s">
        <v>77</v>
      </c>
    </row>
    <row r="1445" spans="1:9" x14ac:dyDescent="0.3">
      <c r="A1445">
        <v>4813</v>
      </c>
      <c r="B1445" t="s">
        <v>202</v>
      </c>
      <c r="C1445" t="s">
        <v>92</v>
      </c>
      <c r="D1445" t="s">
        <v>64</v>
      </c>
      <c r="E1445" t="s">
        <v>1202</v>
      </c>
      <c r="F1445" s="13">
        <v>1</v>
      </c>
      <c r="G1445" s="14">
        <v>2777.13</v>
      </c>
      <c r="H1445" s="13">
        <v>224</v>
      </c>
      <c r="I1445" t="s">
        <v>77</v>
      </c>
    </row>
    <row r="1446" spans="1:9" x14ac:dyDescent="0.3">
      <c r="A1446">
        <v>4880</v>
      </c>
      <c r="B1446" t="s">
        <v>175</v>
      </c>
      <c r="C1446" t="s">
        <v>123</v>
      </c>
      <c r="D1446" t="s">
        <v>65</v>
      </c>
      <c r="E1446" t="s">
        <v>1202</v>
      </c>
      <c r="F1446" s="13">
        <v>1</v>
      </c>
      <c r="G1446" s="14">
        <v>3078.99</v>
      </c>
      <c r="H1446" s="13">
        <v>224</v>
      </c>
      <c r="I1446" t="s">
        <v>77</v>
      </c>
    </row>
    <row r="1447" spans="1:9" x14ac:dyDescent="0.3">
      <c r="A1447">
        <v>5060</v>
      </c>
      <c r="B1447" t="s">
        <v>448</v>
      </c>
      <c r="C1447" t="s">
        <v>249</v>
      </c>
      <c r="D1447" t="s">
        <v>67</v>
      </c>
      <c r="E1447" t="s">
        <v>1202</v>
      </c>
      <c r="F1447" s="13">
        <v>1</v>
      </c>
      <c r="G1447" s="14">
        <v>278.18</v>
      </c>
      <c r="H1447" s="13">
        <v>224</v>
      </c>
      <c r="I1447" t="s">
        <v>77</v>
      </c>
    </row>
    <row r="1448" spans="1:9" x14ac:dyDescent="0.3">
      <c r="A1448">
        <v>5421</v>
      </c>
      <c r="B1448" t="s">
        <v>494</v>
      </c>
      <c r="C1448" t="s">
        <v>133</v>
      </c>
      <c r="D1448" t="s">
        <v>64</v>
      </c>
      <c r="E1448" t="s">
        <v>1202</v>
      </c>
      <c r="F1448" s="13">
        <v>1</v>
      </c>
      <c r="G1448" s="14">
        <v>724.56</v>
      </c>
      <c r="H1448" s="13">
        <v>224</v>
      </c>
      <c r="I1448" t="s">
        <v>77</v>
      </c>
    </row>
    <row r="1449" spans="1:9" x14ac:dyDescent="0.3">
      <c r="A1449">
        <v>5433</v>
      </c>
      <c r="B1449" t="s">
        <v>353</v>
      </c>
      <c r="C1449" t="s">
        <v>137</v>
      </c>
      <c r="D1449" t="s">
        <v>64</v>
      </c>
      <c r="E1449" t="s">
        <v>1202</v>
      </c>
      <c r="F1449" s="13">
        <v>3</v>
      </c>
      <c r="G1449" s="14">
        <v>7472.86</v>
      </c>
      <c r="H1449" s="13">
        <v>224</v>
      </c>
      <c r="I1449" t="s">
        <v>77</v>
      </c>
    </row>
    <row r="1450" spans="1:9" x14ac:dyDescent="0.3">
      <c r="A1450">
        <v>6064</v>
      </c>
      <c r="B1450" t="s">
        <v>1203</v>
      </c>
      <c r="C1450" t="s">
        <v>114</v>
      </c>
      <c r="D1450" t="s">
        <v>66</v>
      </c>
      <c r="E1450" t="s">
        <v>1202</v>
      </c>
      <c r="F1450" s="13">
        <v>1</v>
      </c>
      <c r="G1450" s="14">
        <v>187.19</v>
      </c>
      <c r="H1450" s="13">
        <v>224</v>
      </c>
      <c r="I1450" t="s">
        <v>77</v>
      </c>
    </row>
    <row r="1451" spans="1:9" x14ac:dyDescent="0.3">
      <c r="A1451">
        <v>6282</v>
      </c>
      <c r="B1451" t="s">
        <v>466</v>
      </c>
      <c r="C1451" t="s">
        <v>90</v>
      </c>
      <c r="D1451" t="s">
        <v>66</v>
      </c>
      <c r="E1451" t="s">
        <v>1202</v>
      </c>
      <c r="F1451" s="13">
        <v>2</v>
      </c>
      <c r="G1451" s="14">
        <v>4402.8</v>
      </c>
      <c r="H1451" s="13">
        <v>224</v>
      </c>
      <c r="I1451" t="s">
        <v>77</v>
      </c>
    </row>
    <row r="1452" spans="1:9" x14ac:dyDescent="0.3">
      <c r="A1452">
        <v>8024</v>
      </c>
      <c r="B1452" t="s">
        <v>94</v>
      </c>
      <c r="C1452" t="s">
        <v>100</v>
      </c>
      <c r="D1452" t="s">
        <v>66</v>
      </c>
      <c r="E1452" t="s">
        <v>1202</v>
      </c>
      <c r="F1452" s="13">
        <v>1</v>
      </c>
      <c r="G1452" s="14">
        <v>1973.8</v>
      </c>
      <c r="H1452" s="13">
        <v>224</v>
      </c>
      <c r="I1452" t="s">
        <v>77</v>
      </c>
    </row>
    <row r="1453" spans="1:9" x14ac:dyDescent="0.3">
      <c r="A1453">
        <v>1553</v>
      </c>
      <c r="B1453" t="s">
        <v>477</v>
      </c>
      <c r="C1453" t="s">
        <v>87</v>
      </c>
      <c r="D1453" t="s">
        <v>64</v>
      </c>
      <c r="E1453" t="s">
        <v>1204</v>
      </c>
      <c r="F1453" s="13">
        <v>1</v>
      </c>
      <c r="G1453" s="14">
        <v>4704.83</v>
      </c>
      <c r="H1453" s="13">
        <v>223</v>
      </c>
      <c r="I1453" t="s">
        <v>77</v>
      </c>
    </row>
    <row r="1454" spans="1:9" x14ac:dyDescent="0.3">
      <c r="A1454">
        <v>1932</v>
      </c>
      <c r="B1454" t="s">
        <v>686</v>
      </c>
      <c r="C1454" t="s">
        <v>137</v>
      </c>
      <c r="D1454" t="s">
        <v>64</v>
      </c>
      <c r="E1454" t="s">
        <v>1204</v>
      </c>
      <c r="F1454" s="13">
        <v>2</v>
      </c>
      <c r="G1454" s="14">
        <v>4198.57</v>
      </c>
      <c r="H1454" s="13">
        <v>223</v>
      </c>
      <c r="I1454" t="s">
        <v>77</v>
      </c>
    </row>
    <row r="1455" spans="1:9" x14ac:dyDescent="0.3">
      <c r="A1455">
        <v>2399</v>
      </c>
      <c r="B1455" t="s">
        <v>1205</v>
      </c>
      <c r="C1455" t="s">
        <v>92</v>
      </c>
      <c r="D1455" t="s">
        <v>64</v>
      </c>
      <c r="E1455" t="s">
        <v>1204</v>
      </c>
      <c r="F1455" s="13">
        <v>1</v>
      </c>
      <c r="G1455" s="14">
        <v>684.67</v>
      </c>
      <c r="H1455" s="13">
        <v>223</v>
      </c>
      <c r="I1455" t="s">
        <v>77</v>
      </c>
    </row>
    <row r="1456" spans="1:9" x14ac:dyDescent="0.3">
      <c r="A1456">
        <v>2748</v>
      </c>
      <c r="B1456" t="s">
        <v>1206</v>
      </c>
      <c r="C1456" t="s">
        <v>137</v>
      </c>
      <c r="D1456" t="s">
        <v>64</v>
      </c>
      <c r="E1456" t="s">
        <v>1204</v>
      </c>
      <c r="F1456" s="13">
        <v>3</v>
      </c>
      <c r="G1456" s="14">
        <v>2687.93</v>
      </c>
      <c r="H1456" s="13">
        <v>223</v>
      </c>
      <c r="I1456" t="s">
        <v>77</v>
      </c>
    </row>
    <row r="1457" spans="1:9" x14ac:dyDescent="0.3">
      <c r="A1457">
        <v>2841</v>
      </c>
      <c r="B1457" t="s">
        <v>325</v>
      </c>
      <c r="C1457" t="s">
        <v>92</v>
      </c>
      <c r="D1457" t="s">
        <v>64</v>
      </c>
      <c r="E1457" t="s">
        <v>1204</v>
      </c>
      <c r="F1457" s="13">
        <v>2</v>
      </c>
      <c r="G1457" s="14">
        <v>1687.14</v>
      </c>
      <c r="H1457" s="13">
        <v>223</v>
      </c>
      <c r="I1457" t="s">
        <v>77</v>
      </c>
    </row>
    <row r="1458" spans="1:9" x14ac:dyDescent="0.3">
      <c r="A1458">
        <v>3490</v>
      </c>
      <c r="B1458" t="s">
        <v>1207</v>
      </c>
      <c r="C1458" t="s">
        <v>92</v>
      </c>
      <c r="D1458" t="s">
        <v>64</v>
      </c>
      <c r="E1458" t="s">
        <v>1204</v>
      </c>
      <c r="F1458" s="13">
        <v>6</v>
      </c>
      <c r="G1458" s="14">
        <v>15089.94</v>
      </c>
      <c r="H1458" s="13">
        <v>223</v>
      </c>
      <c r="I1458" t="s">
        <v>77</v>
      </c>
    </row>
    <row r="1459" spans="1:9" x14ac:dyDescent="0.3">
      <c r="A1459">
        <v>5362</v>
      </c>
      <c r="B1459" t="s">
        <v>1103</v>
      </c>
      <c r="C1459" t="s">
        <v>92</v>
      </c>
      <c r="D1459" t="s">
        <v>64</v>
      </c>
      <c r="E1459" t="s">
        <v>1204</v>
      </c>
      <c r="F1459" s="13">
        <v>2</v>
      </c>
      <c r="G1459" s="14">
        <v>295.24</v>
      </c>
      <c r="H1459" s="13">
        <v>223</v>
      </c>
      <c r="I1459" t="s">
        <v>77</v>
      </c>
    </row>
    <row r="1460" spans="1:9" x14ac:dyDescent="0.3">
      <c r="A1460">
        <v>5763</v>
      </c>
      <c r="B1460" t="s">
        <v>1208</v>
      </c>
      <c r="C1460" t="s">
        <v>123</v>
      </c>
      <c r="D1460" t="s">
        <v>65</v>
      </c>
      <c r="E1460" t="s">
        <v>1204</v>
      </c>
      <c r="F1460" s="13">
        <v>3</v>
      </c>
      <c r="G1460" s="14">
        <v>6506.53</v>
      </c>
      <c r="H1460" s="13">
        <v>223</v>
      </c>
      <c r="I1460" t="s">
        <v>77</v>
      </c>
    </row>
    <row r="1461" spans="1:9" x14ac:dyDescent="0.3">
      <c r="A1461">
        <v>6094</v>
      </c>
      <c r="B1461" t="s">
        <v>135</v>
      </c>
      <c r="C1461" t="s">
        <v>92</v>
      </c>
      <c r="D1461" t="s">
        <v>64</v>
      </c>
      <c r="E1461" t="s">
        <v>1204</v>
      </c>
      <c r="F1461" s="13">
        <v>1</v>
      </c>
      <c r="G1461" s="14">
        <v>2781.03</v>
      </c>
      <c r="H1461" s="13">
        <v>223</v>
      </c>
      <c r="I1461" t="s">
        <v>77</v>
      </c>
    </row>
    <row r="1462" spans="1:9" x14ac:dyDescent="0.3">
      <c r="A1462">
        <v>6229</v>
      </c>
      <c r="B1462" t="s">
        <v>1209</v>
      </c>
      <c r="C1462" t="s">
        <v>123</v>
      </c>
      <c r="D1462" t="s">
        <v>65</v>
      </c>
      <c r="E1462" t="s">
        <v>1204</v>
      </c>
      <c r="F1462" s="13">
        <v>1</v>
      </c>
      <c r="G1462" s="14">
        <v>2247.37</v>
      </c>
      <c r="H1462" s="13">
        <v>223</v>
      </c>
      <c r="I1462" t="s">
        <v>77</v>
      </c>
    </row>
    <row r="1463" spans="1:9" x14ac:dyDescent="0.3">
      <c r="A1463">
        <v>6695</v>
      </c>
      <c r="B1463" t="s">
        <v>1210</v>
      </c>
      <c r="C1463" t="s">
        <v>92</v>
      </c>
      <c r="D1463" t="s">
        <v>64</v>
      </c>
      <c r="E1463" t="s">
        <v>1204</v>
      </c>
      <c r="F1463" s="13">
        <v>1</v>
      </c>
      <c r="G1463" s="14">
        <v>2476.91</v>
      </c>
      <c r="H1463" s="13">
        <v>223</v>
      </c>
      <c r="I1463" t="s">
        <v>77</v>
      </c>
    </row>
    <row r="1464" spans="1:9" x14ac:dyDescent="0.3">
      <c r="A1464">
        <v>6713</v>
      </c>
      <c r="B1464" t="s">
        <v>1211</v>
      </c>
      <c r="C1464" t="s">
        <v>90</v>
      </c>
      <c r="D1464" t="s">
        <v>66</v>
      </c>
      <c r="E1464" t="s">
        <v>1204</v>
      </c>
      <c r="F1464" s="13">
        <v>2</v>
      </c>
      <c r="G1464" s="14">
        <v>5459.34</v>
      </c>
      <c r="H1464" s="13">
        <v>223</v>
      </c>
      <c r="I1464" t="s">
        <v>77</v>
      </c>
    </row>
    <row r="1465" spans="1:9" x14ac:dyDescent="0.3">
      <c r="A1465">
        <v>7093</v>
      </c>
      <c r="B1465" t="s">
        <v>1212</v>
      </c>
      <c r="C1465" t="s">
        <v>92</v>
      </c>
      <c r="D1465" t="s">
        <v>64</v>
      </c>
      <c r="E1465" t="s">
        <v>1204</v>
      </c>
      <c r="F1465" s="13">
        <v>1</v>
      </c>
      <c r="G1465" s="14">
        <v>2483.73</v>
      </c>
      <c r="H1465" s="13">
        <v>223</v>
      </c>
      <c r="I1465" t="s">
        <v>77</v>
      </c>
    </row>
    <row r="1466" spans="1:9" x14ac:dyDescent="0.3">
      <c r="A1466">
        <v>7266</v>
      </c>
      <c r="B1466" t="s">
        <v>645</v>
      </c>
      <c r="C1466" t="s">
        <v>95</v>
      </c>
      <c r="D1466" t="s">
        <v>65</v>
      </c>
      <c r="E1466" t="s">
        <v>1204</v>
      </c>
      <c r="F1466" s="13">
        <v>1</v>
      </c>
      <c r="G1466" s="14">
        <v>6454.61</v>
      </c>
      <c r="H1466" s="13">
        <v>223</v>
      </c>
      <c r="I1466" t="s">
        <v>77</v>
      </c>
    </row>
    <row r="1467" spans="1:9" x14ac:dyDescent="0.3">
      <c r="A1467">
        <v>7389</v>
      </c>
      <c r="B1467" t="s">
        <v>151</v>
      </c>
      <c r="C1467" t="s">
        <v>90</v>
      </c>
      <c r="D1467" t="s">
        <v>66</v>
      </c>
      <c r="E1467" t="s">
        <v>1204</v>
      </c>
      <c r="F1467" s="13">
        <v>1</v>
      </c>
      <c r="G1467" s="14">
        <v>1212.93</v>
      </c>
      <c r="H1467" s="13">
        <v>223</v>
      </c>
      <c r="I1467" t="s">
        <v>77</v>
      </c>
    </row>
    <row r="1468" spans="1:9" x14ac:dyDescent="0.3">
      <c r="A1468">
        <v>8049</v>
      </c>
      <c r="B1468" t="s">
        <v>1070</v>
      </c>
      <c r="C1468" t="s">
        <v>114</v>
      </c>
      <c r="D1468" t="s">
        <v>66</v>
      </c>
      <c r="E1468" t="s">
        <v>1204</v>
      </c>
      <c r="F1468" s="13">
        <v>1</v>
      </c>
      <c r="G1468" s="14">
        <v>3723.67</v>
      </c>
      <c r="H1468" s="13">
        <v>223</v>
      </c>
      <c r="I1468" t="s">
        <v>77</v>
      </c>
    </row>
    <row r="1469" spans="1:9" x14ac:dyDescent="0.3">
      <c r="A1469">
        <v>1070</v>
      </c>
      <c r="B1469" t="s">
        <v>1025</v>
      </c>
      <c r="C1469" t="s">
        <v>100</v>
      </c>
      <c r="D1469" t="s">
        <v>66</v>
      </c>
      <c r="E1469" t="s">
        <v>1213</v>
      </c>
      <c r="F1469" s="13">
        <v>2</v>
      </c>
      <c r="G1469" s="14">
        <v>1476.3</v>
      </c>
      <c r="H1469" s="13">
        <v>222</v>
      </c>
      <c r="I1469" t="s">
        <v>77</v>
      </c>
    </row>
    <row r="1470" spans="1:9" x14ac:dyDescent="0.3">
      <c r="A1470">
        <v>1589</v>
      </c>
      <c r="B1470" t="s">
        <v>153</v>
      </c>
      <c r="C1470" t="s">
        <v>123</v>
      </c>
      <c r="D1470" t="s">
        <v>65</v>
      </c>
      <c r="E1470" t="s">
        <v>1213</v>
      </c>
      <c r="F1470" s="13">
        <v>1</v>
      </c>
      <c r="G1470" s="14">
        <v>1858.65</v>
      </c>
      <c r="H1470" s="13">
        <v>222</v>
      </c>
      <c r="I1470" t="s">
        <v>77</v>
      </c>
    </row>
    <row r="1471" spans="1:9" x14ac:dyDescent="0.3">
      <c r="A1471">
        <v>3235</v>
      </c>
      <c r="B1471" t="s">
        <v>641</v>
      </c>
      <c r="C1471" t="s">
        <v>123</v>
      </c>
      <c r="D1471" t="s">
        <v>65</v>
      </c>
      <c r="E1471" t="s">
        <v>1213</v>
      </c>
      <c r="F1471" s="13">
        <v>1</v>
      </c>
      <c r="G1471" s="14">
        <v>2410.4499999999998</v>
      </c>
      <c r="H1471" s="13">
        <v>222</v>
      </c>
      <c r="I1471" t="s">
        <v>77</v>
      </c>
    </row>
    <row r="1472" spans="1:9" x14ac:dyDescent="0.3">
      <c r="A1472">
        <v>3849</v>
      </c>
      <c r="B1472" t="s">
        <v>1214</v>
      </c>
      <c r="C1472" t="s">
        <v>95</v>
      </c>
      <c r="D1472" t="s">
        <v>65</v>
      </c>
      <c r="E1472" t="s">
        <v>1213</v>
      </c>
      <c r="F1472" s="13">
        <v>1</v>
      </c>
      <c r="G1472" s="14">
        <v>3863.4</v>
      </c>
      <c r="H1472" s="13">
        <v>222</v>
      </c>
      <c r="I1472" t="s">
        <v>77</v>
      </c>
    </row>
    <row r="1473" spans="1:9" x14ac:dyDescent="0.3">
      <c r="A1473">
        <v>3926</v>
      </c>
      <c r="B1473" t="s">
        <v>1215</v>
      </c>
      <c r="C1473" t="s">
        <v>90</v>
      </c>
      <c r="D1473" t="s">
        <v>66</v>
      </c>
      <c r="E1473" t="s">
        <v>1213</v>
      </c>
      <c r="F1473" s="13">
        <v>2</v>
      </c>
      <c r="G1473" s="14">
        <v>3443.31</v>
      </c>
      <c r="H1473" s="13">
        <v>222</v>
      </c>
      <c r="I1473" t="s">
        <v>77</v>
      </c>
    </row>
    <row r="1474" spans="1:9" x14ac:dyDescent="0.3">
      <c r="A1474">
        <v>4626</v>
      </c>
      <c r="B1474" t="s">
        <v>366</v>
      </c>
      <c r="C1474" t="s">
        <v>156</v>
      </c>
      <c r="D1474" t="s">
        <v>68</v>
      </c>
      <c r="E1474" t="s">
        <v>1213</v>
      </c>
      <c r="F1474" s="13">
        <v>1</v>
      </c>
      <c r="G1474" s="14">
        <v>2159.98</v>
      </c>
      <c r="H1474" s="13">
        <v>222</v>
      </c>
      <c r="I1474" t="s">
        <v>77</v>
      </c>
    </row>
    <row r="1475" spans="1:9" x14ac:dyDescent="0.3">
      <c r="A1475">
        <v>4917</v>
      </c>
      <c r="B1475" t="s">
        <v>1216</v>
      </c>
      <c r="C1475" t="s">
        <v>92</v>
      </c>
      <c r="D1475" t="s">
        <v>64</v>
      </c>
      <c r="E1475" t="s">
        <v>1213</v>
      </c>
      <c r="F1475" s="13">
        <v>2</v>
      </c>
      <c r="G1475" s="14">
        <v>2924.63</v>
      </c>
      <c r="H1475" s="13">
        <v>222</v>
      </c>
      <c r="I1475" t="s">
        <v>77</v>
      </c>
    </row>
    <row r="1476" spans="1:9" x14ac:dyDescent="0.3">
      <c r="A1476">
        <v>5265</v>
      </c>
      <c r="B1476" t="s">
        <v>1217</v>
      </c>
      <c r="C1476" t="s">
        <v>90</v>
      </c>
      <c r="D1476" t="s">
        <v>66</v>
      </c>
      <c r="E1476" t="s">
        <v>1213</v>
      </c>
      <c r="F1476" s="13">
        <v>1</v>
      </c>
      <c r="G1476" s="14">
        <v>3343.39</v>
      </c>
      <c r="H1476" s="13">
        <v>222</v>
      </c>
      <c r="I1476" t="s">
        <v>77</v>
      </c>
    </row>
    <row r="1477" spans="1:9" x14ac:dyDescent="0.3">
      <c r="A1477">
        <v>5643</v>
      </c>
      <c r="B1477" t="s">
        <v>120</v>
      </c>
      <c r="C1477" t="s">
        <v>133</v>
      </c>
      <c r="D1477" t="s">
        <v>64</v>
      </c>
      <c r="E1477" t="s">
        <v>1213</v>
      </c>
      <c r="F1477" s="13">
        <v>1</v>
      </c>
      <c r="G1477" s="14">
        <v>288.99</v>
      </c>
      <c r="H1477" s="13">
        <v>222</v>
      </c>
      <c r="I1477" t="s">
        <v>77</v>
      </c>
    </row>
    <row r="1478" spans="1:9" x14ac:dyDescent="0.3">
      <c r="A1478">
        <v>5854</v>
      </c>
      <c r="B1478" t="s">
        <v>460</v>
      </c>
      <c r="C1478" t="s">
        <v>90</v>
      </c>
      <c r="D1478" t="s">
        <v>66</v>
      </c>
      <c r="E1478" t="s">
        <v>1213</v>
      </c>
      <c r="F1478" s="13">
        <v>2</v>
      </c>
      <c r="G1478" s="14">
        <v>7716.04</v>
      </c>
      <c r="H1478" s="13">
        <v>222</v>
      </c>
      <c r="I1478" t="s">
        <v>77</v>
      </c>
    </row>
    <row r="1479" spans="1:9" x14ac:dyDescent="0.3">
      <c r="A1479">
        <v>6898</v>
      </c>
      <c r="B1479" t="s">
        <v>169</v>
      </c>
      <c r="C1479" t="s">
        <v>92</v>
      </c>
      <c r="D1479" t="s">
        <v>64</v>
      </c>
      <c r="E1479" t="s">
        <v>1213</v>
      </c>
      <c r="F1479" s="13">
        <v>3</v>
      </c>
      <c r="G1479" s="14">
        <v>3779.3</v>
      </c>
      <c r="H1479" s="13">
        <v>222</v>
      </c>
      <c r="I1479" t="s">
        <v>77</v>
      </c>
    </row>
    <row r="1480" spans="1:9" x14ac:dyDescent="0.3">
      <c r="A1480">
        <v>7035</v>
      </c>
      <c r="B1480" t="s">
        <v>237</v>
      </c>
      <c r="C1480" t="s">
        <v>249</v>
      </c>
      <c r="D1480" t="s">
        <v>67</v>
      </c>
      <c r="E1480" t="s">
        <v>1213</v>
      </c>
      <c r="F1480" s="13">
        <v>1</v>
      </c>
      <c r="G1480" s="14">
        <v>2196.73</v>
      </c>
      <c r="H1480" s="13">
        <v>222</v>
      </c>
      <c r="I1480" t="s">
        <v>77</v>
      </c>
    </row>
    <row r="1481" spans="1:9" x14ac:dyDescent="0.3">
      <c r="A1481">
        <v>7297</v>
      </c>
      <c r="B1481" t="s">
        <v>1076</v>
      </c>
      <c r="C1481" t="s">
        <v>137</v>
      </c>
      <c r="D1481" t="s">
        <v>64</v>
      </c>
      <c r="E1481" t="s">
        <v>1213</v>
      </c>
      <c r="F1481" s="13">
        <v>1</v>
      </c>
      <c r="G1481" s="14">
        <v>454.19</v>
      </c>
      <c r="H1481" s="13">
        <v>222</v>
      </c>
      <c r="I1481" t="s">
        <v>77</v>
      </c>
    </row>
    <row r="1482" spans="1:9" x14ac:dyDescent="0.3">
      <c r="A1482">
        <v>567</v>
      </c>
      <c r="B1482" t="s">
        <v>848</v>
      </c>
      <c r="C1482" t="s">
        <v>137</v>
      </c>
      <c r="D1482" t="s">
        <v>64</v>
      </c>
      <c r="E1482" t="s">
        <v>1218</v>
      </c>
      <c r="F1482" s="13">
        <v>2</v>
      </c>
      <c r="G1482" s="14">
        <v>530.64</v>
      </c>
      <c r="H1482" s="13">
        <v>221</v>
      </c>
      <c r="I1482" t="s">
        <v>77</v>
      </c>
    </row>
    <row r="1483" spans="1:9" x14ac:dyDescent="0.3">
      <c r="A1483">
        <v>903</v>
      </c>
      <c r="B1483" t="s">
        <v>1219</v>
      </c>
      <c r="C1483" t="s">
        <v>92</v>
      </c>
      <c r="D1483" t="s">
        <v>64</v>
      </c>
      <c r="E1483" t="s">
        <v>1218</v>
      </c>
      <c r="F1483" s="13">
        <v>1</v>
      </c>
      <c r="G1483" s="14">
        <v>679.77</v>
      </c>
      <c r="H1483" s="13">
        <v>221</v>
      </c>
      <c r="I1483" t="s">
        <v>77</v>
      </c>
    </row>
    <row r="1484" spans="1:9" x14ac:dyDescent="0.3">
      <c r="A1484">
        <v>4363</v>
      </c>
      <c r="B1484" t="s">
        <v>293</v>
      </c>
      <c r="C1484" t="s">
        <v>133</v>
      </c>
      <c r="D1484" t="s">
        <v>64</v>
      </c>
      <c r="E1484" t="s">
        <v>1218</v>
      </c>
      <c r="F1484" s="13">
        <v>3</v>
      </c>
      <c r="G1484" s="14">
        <v>5635.82</v>
      </c>
      <c r="H1484" s="13">
        <v>221</v>
      </c>
      <c r="I1484" t="s">
        <v>77</v>
      </c>
    </row>
    <row r="1485" spans="1:9" x14ac:dyDescent="0.3">
      <c r="A1485">
        <v>4460</v>
      </c>
      <c r="B1485" t="s">
        <v>1038</v>
      </c>
      <c r="C1485" t="s">
        <v>92</v>
      </c>
      <c r="D1485" t="s">
        <v>64</v>
      </c>
      <c r="E1485" t="s">
        <v>1218</v>
      </c>
      <c r="F1485" s="13">
        <v>1</v>
      </c>
      <c r="G1485" s="14">
        <v>3037.04</v>
      </c>
      <c r="H1485" s="13">
        <v>221</v>
      </c>
      <c r="I1485" t="s">
        <v>77</v>
      </c>
    </row>
    <row r="1486" spans="1:9" x14ac:dyDescent="0.3">
      <c r="A1486">
        <v>5623</v>
      </c>
      <c r="B1486" t="s">
        <v>120</v>
      </c>
      <c r="C1486" t="s">
        <v>137</v>
      </c>
      <c r="D1486" t="s">
        <v>64</v>
      </c>
      <c r="E1486" t="s">
        <v>1218</v>
      </c>
      <c r="F1486" s="13">
        <v>3</v>
      </c>
      <c r="G1486" s="14">
        <v>3413.04</v>
      </c>
      <c r="H1486" s="13">
        <v>221</v>
      </c>
      <c r="I1486" t="s">
        <v>77</v>
      </c>
    </row>
    <row r="1487" spans="1:9" x14ac:dyDescent="0.3">
      <c r="A1487">
        <v>7349</v>
      </c>
      <c r="B1487" t="s">
        <v>1220</v>
      </c>
      <c r="C1487" t="s">
        <v>114</v>
      </c>
      <c r="D1487" t="s">
        <v>66</v>
      </c>
      <c r="E1487" t="s">
        <v>1218</v>
      </c>
      <c r="F1487" s="13">
        <v>1</v>
      </c>
      <c r="G1487" s="14">
        <v>2024.6</v>
      </c>
      <c r="H1487" s="13">
        <v>221</v>
      </c>
      <c r="I1487" t="s">
        <v>77</v>
      </c>
    </row>
    <row r="1488" spans="1:9" x14ac:dyDescent="0.3">
      <c r="A1488">
        <v>7649</v>
      </c>
      <c r="B1488" t="s">
        <v>668</v>
      </c>
      <c r="C1488" t="s">
        <v>92</v>
      </c>
      <c r="D1488" t="s">
        <v>64</v>
      </c>
      <c r="E1488" t="s">
        <v>1218</v>
      </c>
      <c r="F1488" s="13">
        <v>1</v>
      </c>
      <c r="G1488" s="14">
        <v>2448.11</v>
      </c>
      <c r="H1488" s="13">
        <v>221</v>
      </c>
      <c r="I1488" t="s">
        <v>77</v>
      </c>
    </row>
    <row r="1489" spans="1:9" x14ac:dyDescent="0.3">
      <c r="A1489">
        <v>956</v>
      </c>
      <c r="B1489" t="s">
        <v>120</v>
      </c>
      <c r="C1489" t="s">
        <v>100</v>
      </c>
      <c r="D1489" t="s">
        <v>66</v>
      </c>
      <c r="E1489" t="s">
        <v>1221</v>
      </c>
      <c r="F1489" s="13">
        <v>5</v>
      </c>
      <c r="G1489" s="14">
        <v>8600.27</v>
      </c>
      <c r="H1489" s="13">
        <v>220</v>
      </c>
      <c r="I1489" t="s">
        <v>77</v>
      </c>
    </row>
    <row r="1490" spans="1:9" x14ac:dyDescent="0.3">
      <c r="A1490">
        <v>1620</v>
      </c>
      <c r="B1490" t="s">
        <v>202</v>
      </c>
      <c r="C1490" t="s">
        <v>92</v>
      </c>
      <c r="D1490" t="s">
        <v>64</v>
      </c>
      <c r="E1490" t="s">
        <v>1221</v>
      </c>
      <c r="F1490" s="13">
        <v>2</v>
      </c>
      <c r="G1490" s="14">
        <v>3673.07</v>
      </c>
      <c r="H1490" s="13">
        <v>220</v>
      </c>
      <c r="I1490" t="s">
        <v>77</v>
      </c>
    </row>
    <row r="1491" spans="1:9" x14ac:dyDescent="0.3">
      <c r="A1491">
        <v>1718</v>
      </c>
      <c r="B1491" t="s">
        <v>1222</v>
      </c>
      <c r="C1491" t="s">
        <v>92</v>
      </c>
      <c r="D1491" t="s">
        <v>64</v>
      </c>
      <c r="E1491" t="s">
        <v>1221</v>
      </c>
      <c r="F1491" s="13">
        <v>1</v>
      </c>
      <c r="G1491" s="14">
        <v>684.66</v>
      </c>
      <c r="H1491" s="13">
        <v>220</v>
      </c>
      <c r="I1491" t="s">
        <v>77</v>
      </c>
    </row>
    <row r="1492" spans="1:9" x14ac:dyDescent="0.3">
      <c r="A1492">
        <v>1958</v>
      </c>
      <c r="B1492" t="s">
        <v>295</v>
      </c>
      <c r="C1492" t="s">
        <v>90</v>
      </c>
      <c r="D1492" t="s">
        <v>66</v>
      </c>
      <c r="E1492" t="s">
        <v>1221</v>
      </c>
      <c r="F1492" s="13">
        <v>1</v>
      </c>
      <c r="G1492" s="14">
        <v>11185.36</v>
      </c>
      <c r="H1492" s="13">
        <v>220</v>
      </c>
      <c r="I1492" t="s">
        <v>77</v>
      </c>
    </row>
    <row r="1493" spans="1:9" x14ac:dyDescent="0.3">
      <c r="A1493">
        <v>3141</v>
      </c>
      <c r="B1493" t="s">
        <v>448</v>
      </c>
      <c r="C1493" t="s">
        <v>97</v>
      </c>
      <c r="D1493" t="s">
        <v>65</v>
      </c>
      <c r="E1493" t="s">
        <v>1221</v>
      </c>
      <c r="F1493" s="13">
        <v>1</v>
      </c>
      <c r="G1493" s="14">
        <v>13247.53</v>
      </c>
      <c r="H1493" s="13">
        <v>220</v>
      </c>
      <c r="I1493" t="s">
        <v>77</v>
      </c>
    </row>
    <row r="1494" spans="1:9" x14ac:dyDescent="0.3">
      <c r="A1494">
        <v>3770</v>
      </c>
      <c r="B1494" t="s">
        <v>1223</v>
      </c>
      <c r="C1494" t="s">
        <v>114</v>
      </c>
      <c r="D1494" t="s">
        <v>66</v>
      </c>
      <c r="E1494" t="s">
        <v>1221</v>
      </c>
      <c r="F1494" s="13">
        <v>1</v>
      </c>
      <c r="G1494" s="14">
        <v>3076.46</v>
      </c>
      <c r="H1494" s="13">
        <v>220</v>
      </c>
      <c r="I1494" t="s">
        <v>77</v>
      </c>
    </row>
    <row r="1495" spans="1:9" x14ac:dyDescent="0.3">
      <c r="A1495">
        <v>3892</v>
      </c>
      <c r="B1495" t="s">
        <v>135</v>
      </c>
      <c r="C1495" t="s">
        <v>90</v>
      </c>
      <c r="D1495" t="s">
        <v>66</v>
      </c>
      <c r="E1495" t="s">
        <v>1221</v>
      </c>
      <c r="F1495" s="13">
        <v>2</v>
      </c>
      <c r="G1495" s="14">
        <v>996.22</v>
      </c>
      <c r="H1495" s="13">
        <v>220</v>
      </c>
      <c r="I1495" t="s">
        <v>77</v>
      </c>
    </row>
    <row r="1496" spans="1:9" x14ac:dyDescent="0.3">
      <c r="A1496">
        <v>3964</v>
      </c>
      <c r="B1496" t="s">
        <v>208</v>
      </c>
      <c r="C1496" t="s">
        <v>90</v>
      </c>
      <c r="D1496" t="s">
        <v>66</v>
      </c>
      <c r="E1496" t="s">
        <v>1221</v>
      </c>
      <c r="F1496" s="13">
        <v>1</v>
      </c>
      <c r="G1496" s="14">
        <v>2174.0300000000002</v>
      </c>
      <c r="H1496" s="13">
        <v>220</v>
      </c>
      <c r="I1496" t="s">
        <v>77</v>
      </c>
    </row>
    <row r="1497" spans="1:9" x14ac:dyDescent="0.3">
      <c r="A1497">
        <v>4292</v>
      </c>
      <c r="B1497" t="s">
        <v>1224</v>
      </c>
      <c r="C1497" t="s">
        <v>92</v>
      </c>
      <c r="D1497" t="s">
        <v>64</v>
      </c>
      <c r="E1497" t="s">
        <v>1221</v>
      </c>
      <c r="F1497" s="13">
        <v>2</v>
      </c>
      <c r="G1497" s="14">
        <v>3231.21</v>
      </c>
      <c r="H1497" s="13">
        <v>220</v>
      </c>
      <c r="I1497" t="s">
        <v>77</v>
      </c>
    </row>
    <row r="1498" spans="1:9" x14ac:dyDescent="0.3">
      <c r="A1498">
        <v>7261</v>
      </c>
      <c r="B1498" t="s">
        <v>848</v>
      </c>
      <c r="C1498" t="s">
        <v>137</v>
      </c>
      <c r="D1498" t="s">
        <v>64</v>
      </c>
      <c r="E1498" t="s">
        <v>1221</v>
      </c>
      <c r="F1498" s="13">
        <v>2</v>
      </c>
      <c r="G1498" s="14">
        <v>1953.44</v>
      </c>
      <c r="H1498" s="13">
        <v>220</v>
      </c>
      <c r="I1498" t="s">
        <v>77</v>
      </c>
    </row>
    <row r="1499" spans="1:9" x14ac:dyDescent="0.3">
      <c r="A1499">
        <v>7550</v>
      </c>
      <c r="B1499" t="s">
        <v>1225</v>
      </c>
      <c r="C1499" t="s">
        <v>249</v>
      </c>
      <c r="D1499" t="s">
        <v>67</v>
      </c>
      <c r="E1499" t="s">
        <v>1221</v>
      </c>
      <c r="F1499" s="13">
        <v>7</v>
      </c>
      <c r="G1499" s="14">
        <v>10732.05</v>
      </c>
      <c r="H1499" s="13">
        <v>220</v>
      </c>
      <c r="I1499" t="s">
        <v>77</v>
      </c>
    </row>
    <row r="1500" spans="1:9" x14ac:dyDescent="0.3">
      <c r="A1500">
        <v>8548</v>
      </c>
      <c r="B1500" t="s">
        <v>208</v>
      </c>
      <c r="C1500" t="s">
        <v>100</v>
      </c>
      <c r="D1500" t="s">
        <v>66</v>
      </c>
      <c r="E1500" t="s">
        <v>1221</v>
      </c>
      <c r="F1500" s="13">
        <v>1</v>
      </c>
      <c r="G1500" s="14">
        <v>3194.05</v>
      </c>
      <c r="H1500" s="13">
        <v>220</v>
      </c>
      <c r="I1500" t="s">
        <v>77</v>
      </c>
    </row>
    <row r="1501" spans="1:9" x14ac:dyDescent="0.3">
      <c r="A1501">
        <v>949</v>
      </c>
      <c r="B1501" t="s">
        <v>1226</v>
      </c>
      <c r="C1501" t="s">
        <v>121</v>
      </c>
      <c r="D1501" t="s">
        <v>67</v>
      </c>
      <c r="E1501" t="s">
        <v>1227</v>
      </c>
      <c r="F1501" s="13">
        <v>3</v>
      </c>
      <c r="G1501" s="14">
        <v>7519.28</v>
      </c>
      <c r="H1501" s="13">
        <v>219</v>
      </c>
      <c r="I1501" t="s">
        <v>77</v>
      </c>
    </row>
    <row r="1502" spans="1:9" x14ac:dyDescent="0.3">
      <c r="A1502">
        <v>4212</v>
      </c>
      <c r="B1502" t="s">
        <v>1228</v>
      </c>
      <c r="C1502" t="s">
        <v>123</v>
      </c>
      <c r="D1502" t="s">
        <v>65</v>
      </c>
      <c r="E1502" t="s">
        <v>1227</v>
      </c>
      <c r="F1502" s="13">
        <v>2</v>
      </c>
      <c r="G1502" s="14">
        <v>943.43</v>
      </c>
      <c r="H1502" s="13">
        <v>219</v>
      </c>
      <c r="I1502" t="s">
        <v>77</v>
      </c>
    </row>
    <row r="1503" spans="1:9" x14ac:dyDescent="0.3">
      <c r="A1503">
        <v>4365</v>
      </c>
      <c r="B1503" t="s">
        <v>559</v>
      </c>
      <c r="C1503" t="s">
        <v>137</v>
      </c>
      <c r="D1503" t="s">
        <v>64</v>
      </c>
      <c r="E1503" t="s">
        <v>1227</v>
      </c>
      <c r="F1503" s="13">
        <v>5</v>
      </c>
      <c r="G1503" s="14">
        <v>9582.09</v>
      </c>
      <c r="H1503" s="13">
        <v>219</v>
      </c>
      <c r="I1503" t="s">
        <v>77</v>
      </c>
    </row>
    <row r="1504" spans="1:9" x14ac:dyDescent="0.3">
      <c r="A1504">
        <v>4609</v>
      </c>
      <c r="B1504" t="s">
        <v>1229</v>
      </c>
      <c r="C1504" t="s">
        <v>92</v>
      </c>
      <c r="D1504" t="s">
        <v>64</v>
      </c>
      <c r="E1504" t="s">
        <v>1227</v>
      </c>
      <c r="F1504" s="13">
        <v>1</v>
      </c>
      <c r="G1504" s="14">
        <v>880.95</v>
      </c>
      <c r="H1504" s="13">
        <v>219</v>
      </c>
      <c r="I1504" t="s">
        <v>77</v>
      </c>
    </row>
    <row r="1505" spans="1:9" x14ac:dyDescent="0.3">
      <c r="A1505">
        <v>7818</v>
      </c>
      <c r="B1505" t="s">
        <v>400</v>
      </c>
      <c r="C1505" t="s">
        <v>123</v>
      </c>
      <c r="D1505" t="s">
        <v>65</v>
      </c>
      <c r="E1505" t="s">
        <v>1227</v>
      </c>
      <c r="F1505" s="13">
        <v>1</v>
      </c>
      <c r="G1505" s="14">
        <v>421.82</v>
      </c>
      <c r="H1505" s="13">
        <v>219</v>
      </c>
      <c r="I1505" t="s">
        <v>77</v>
      </c>
    </row>
    <row r="1506" spans="1:9" x14ac:dyDescent="0.3">
      <c r="A1506">
        <v>8182</v>
      </c>
      <c r="B1506" t="s">
        <v>321</v>
      </c>
      <c r="C1506" t="s">
        <v>114</v>
      </c>
      <c r="D1506" t="s">
        <v>66</v>
      </c>
      <c r="E1506" t="s">
        <v>1227</v>
      </c>
      <c r="F1506" s="13">
        <v>1</v>
      </c>
      <c r="G1506" s="14">
        <v>207.24</v>
      </c>
      <c r="H1506" s="13">
        <v>219</v>
      </c>
      <c r="I1506" t="s">
        <v>77</v>
      </c>
    </row>
    <row r="1507" spans="1:9" x14ac:dyDescent="0.3">
      <c r="A1507">
        <v>8937</v>
      </c>
      <c r="B1507" t="s">
        <v>1230</v>
      </c>
      <c r="C1507" t="s">
        <v>95</v>
      </c>
      <c r="D1507" t="s">
        <v>65</v>
      </c>
      <c r="E1507" t="s">
        <v>1227</v>
      </c>
      <c r="F1507" s="13">
        <v>2</v>
      </c>
      <c r="G1507" s="14">
        <v>6174.72</v>
      </c>
      <c r="H1507" s="13">
        <v>219</v>
      </c>
      <c r="I1507" t="s">
        <v>77</v>
      </c>
    </row>
    <row r="1508" spans="1:9" x14ac:dyDescent="0.3">
      <c r="A1508">
        <v>396</v>
      </c>
      <c r="B1508" t="s">
        <v>205</v>
      </c>
      <c r="C1508" t="s">
        <v>97</v>
      </c>
      <c r="D1508" t="s">
        <v>65</v>
      </c>
      <c r="E1508" t="s">
        <v>1231</v>
      </c>
      <c r="F1508" s="13">
        <v>2</v>
      </c>
      <c r="G1508" s="14">
        <v>8960.4699999999993</v>
      </c>
      <c r="H1508" s="13">
        <v>218</v>
      </c>
      <c r="I1508" t="s">
        <v>77</v>
      </c>
    </row>
    <row r="1509" spans="1:9" x14ac:dyDescent="0.3">
      <c r="A1509">
        <v>1545</v>
      </c>
      <c r="B1509" t="s">
        <v>588</v>
      </c>
      <c r="C1509" t="s">
        <v>97</v>
      </c>
      <c r="D1509" t="s">
        <v>65</v>
      </c>
      <c r="E1509" t="s">
        <v>1231</v>
      </c>
      <c r="F1509" s="13">
        <v>1</v>
      </c>
      <c r="G1509" s="14">
        <v>177.16</v>
      </c>
      <c r="H1509" s="13">
        <v>218</v>
      </c>
      <c r="I1509" t="s">
        <v>77</v>
      </c>
    </row>
    <row r="1510" spans="1:9" x14ac:dyDescent="0.3">
      <c r="A1510">
        <v>1834</v>
      </c>
      <c r="B1510" t="s">
        <v>89</v>
      </c>
      <c r="C1510" t="s">
        <v>92</v>
      </c>
      <c r="D1510" t="s">
        <v>64</v>
      </c>
      <c r="E1510" t="s">
        <v>1231</v>
      </c>
      <c r="F1510" s="13">
        <v>1</v>
      </c>
      <c r="G1510" s="14">
        <v>1110.44</v>
      </c>
      <c r="H1510" s="13">
        <v>218</v>
      </c>
      <c r="I1510" t="s">
        <v>77</v>
      </c>
    </row>
    <row r="1511" spans="1:9" x14ac:dyDescent="0.3">
      <c r="A1511">
        <v>2279</v>
      </c>
      <c r="B1511" t="s">
        <v>346</v>
      </c>
      <c r="C1511" t="s">
        <v>133</v>
      </c>
      <c r="D1511" t="s">
        <v>64</v>
      </c>
      <c r="E1511" t="s">
        <v>1231</v>
      </c>
      <c r="F1511" s="13">
        <v>6</v>
      </c>
      <c r="G1511" s="14">
        <v>16266.54</v>
      </c>
      <c r="H1511" s="13">
        <v>218</v>
      </c>
      <c r="I1511" t="s">
        <v>77</v>
      </c>
    </row>
    <row r="1512" spans="1:9" x14ac:dyDescent="0.3">
      <c r="A1512">
        <v>3895</v>
      </c>
      <c r="B1512" t="s">
        <v>366</v>
      </c>
      <c r="C1512" t="s">
        <v>114</v>
      </c>
      <c r="D1512" t="s">
        <v>66</v>
      </c>
      <c r="E1512" t="s">
        <v>1231</v>
      </c>
      <c r="F1512" s="13">
        <v>9</v>
      </c>
      <c r="G1512" s="14">
        <v>17197.8</v>
      </c>
      <c r="H1512" s="13">
        <v>218</v>
      </c>
      <c r="I1512" t="s">
        <v>77</v>
      </c>
    </row>
    <row r="1513" spans="1:9" x14ac:dyDescent="0.3">
      <c r="A1513">
        <v>4279</v>
      </c>
      <c r="B1513" t="s">
        <v>109</v>
      </c>
      <c r="C1513" t="s">
        <v>90</v>
      </c>
      <c r="D1513" t="s">
        <v>66</v>
      </c>
      <c r="E1513" t="s">
        <v>1231</v>
      </c>
      <c r="F1513" s="13">
        <v>1</v>
      </c>
      <c r="G1513" s="14">
        <v>2182.33</v>
      </c>
      <c r="H1513" s="13">
        <v>218</v>
      </c>
      <c r="I1513" t="s">
        <v>77</v>
      </c>
    </row>
    <row r="1514" spans="1:9" x14ac:dyDescent="0.3">
      <c r="A1514">
        <v>6560</v>
      </c>
      <c r="B1514" t="s">
        <v>415</v>
      </c>
      <c r="C1514" t="s">
        <v>123</v>
      </c>
      <c r="D1514" t="s">
        <v>65</v>
      </c>
      <c r="E1514" t="s">
        <v>1231</v>
      </c>
      <c r="F1514" s="13">
        <v>1</v>
      </c>
      <c r="G1514" s="14">
        <v>842.36</v>
      </c>
      <c r="H1514" s="13">
        <v>218</v>
      </c>
      <c r="I1514" t="s">
        <v>77</v>
      </c>
    </row>
    <row r="1515" spans="1:9" x14ac:dyDescent="0.3">
      <c r="A1515">
        <v>428</v>
      </c>
      <c r="B1515" t="s">
        <v>386</v>
      </c>
      <c r="C1515" t="s">
        <v>133</v>
      </c>
      <c r="D1515" t="s">
        <v>64</v>
      </c>
      <c r="E1515" t="s">
        <v>1232</v>
      </c>
      <c r="F1515" s="13">
        <v>1</v>
      </c>
      <c r="G1515" s="14">
        <v>829.5</v>
      </c>
      <c r="H1515" s="13">
        <v>217</v>
      </c>
      <c r="I1515" t="s">
        <v>77</v>
      </c>
    </row>
    <row r="1516" spans="1:9" x14ac:dyDescent="0.3">
      <c r="A1516">
        <v>2183</v>
      </c>
      <c r="B1516" t="s">
        <v>460</v>
      </c>
      <c r="C1516" t="s">
        <v>123</v>
      </c>
      <c r="D1516" t="s">
        <v>65</v>
      </c>
      <c r="E1516" t="s">
        <v>1232</v>
      </c>
      <c r="F1516" s="13">
        <v>4</v>
      </c>
      <c r="G1516" s="14">
        <v>4367.8100000000004</v>
      </c>
      <c r="H1516" s="13">
        <v>217</v>
      </c>
      <c r="I1516" t="s">
        <v>77</v>
      </c>
    </row>
    <row r="1517" spans="1:9" x14ac:dyDescent="0.3">
      <c r="A1517">
        <v>3527</v>
      </c>
      <c r="B1517" t="s">
        <v>414</v>
      </c>
      <c r="C1517" t="s">
        <v>92</v>
      </c>
      <c r="D1517" t="s">
        <v>64</v>
      </c>
      <c r="E1517" t="s">
        <v>1232</v>
      </c>
      <c r="F1517" s="13">
        <v>2</v>
      </c>
      <c r="G1517" s="14">
        <v>6768.8</v>
      </c>
      <c r="H1517" s="13">
        <v>217</v>
      </c>
      <c r="I1517" t="s">
        <v>77</v>
      </c>
    </row>
    <row r="1518" spans="1:9" x14ac:dyDescent="0.3">
      <c r="A1518">
        <v>4008</v>
      </c>
      <c r="B1518" t="s">
        <v>151</v>
      </c>
      <c r="C1518" t="s">
        <v>92</v>
      </c>
      <c r="D1518" t="s">
        <v>64</v>
      </c>
      <c r="E1518" t="s">
        <v>1232</v>
      </c>
      <c r="F1518" s="13">
        <v>4</v>
      </c>
      <c r="G1518" s="14">
        <v>1149.7</v>
      </c>
      <c r="H1518" s="13">
        <v>217</v>
      </c>
      <c r="I1518" t="s">
        <v>77</v>
      </c>
    </row>
    <row r="1519" spans="1:9" x14ac:dyDescent="0.3">
      <c r="A1519">
        <v>4069</v>
      </c>
      <c r="B1519" t="s">
        <v>795</v>
      </c>
      <c r="C1519" t="s">
        <v>473</v>
      </c>
      <c r="D1519" t="s">
        <v>68</v>
      </c>
      <c r="E1519" t="s">
        <v>1232</v>
      </c>
      <c r="F1519" s="13">
        <v>3</v>
      </c>
      <c r="G1519" s="14">
        <v>12901.11</v>
      </c>
      <c r="H1519" s="13">
        <v>217</v>
      </c>
      <c r="I1519" t="s">
        <v>77</v>
      </c>
    </row>
    <row r="1520" spans="1:9" x14ac:dyDescent="0.3">
      <c r="A1520">
        <v>4682</v>
      </c>
      <c r="B1520" t="s">
        <v>877</v>
      </c>
      <c r="C1520" t="s">
        <v>92</v>
      </c>
      <c r="D1520" t="s">
        <v>64</v>
      </c>
      <c r="E1520" t="s">
        <v>1232</v>
      </c>
      <c r="F1520" s="13">
        <v>1</v>
      </c>
      <c r="G1520" s="14">
        <v>7741.7</v>
      </c>
      <c r="H1520" s="13">
        <v>217</v>
      </c>
      <c r="I1520" t="s">
        <v>77</v>
      </c>
    </row>
    <row r="1521" spans="1:9" x14ac:dyDescent="0.3">
      <c r="A1521">
        <v>4812</v>
      </c>
      <c r="B1521" t="s">
        <v>1233</v>
      </c>
      <c r="C1521" t="s">
        <v>95</v>
      </c>
      <c r="D1521" t="s">
        <v>65</v>
      </c>
      <c r="E1521" t="s">
        <v>1232</v>
      </c>
      <c r="F1521" s="13">
        <v>1</v>
      </c>
      <c r="G1521" s="14">
        <v>1457.82</v>
      </c>
      <c r="H1521" s="13">
        <v>217</v>
      </c>
      <c r="I1521" t="s">
        <v>77</v>
      </c>
    </row>
    <row r="1522" spans="1:9" x14ac:dyDescent="0.3">
      <c r="A1522">
        <v>5456</v>
      </c>
      <c r="B1522" t="s">
        <v>116</v>
      </c>
      <c r="C1522" t="s">
        <v>137</v>
      </c>
      <c r="D1522" t="s">
        <v>64</v>
      </c>
      <c r="E1522" t="s">
        <v>1232</v>
      </c>
      <c r="F1522" s="13">
        <v>2</v>
      </c>
      <c r="G1522" s="14">
        <v>5389.25</v>
      </c>
      <c r="H1522" s="13">
        <v>217</v>
      </c>
      <c r="I1522" t="s">
        <v>77</v>
      </c>
    </row>
    <row r="1523" spans="1:9" x14ac:dyDescent="0.3">
      <c r="A1523">
        <v>6050</v>
      </c>
      <c r="B1523" t="s">
        <v>1234</v>
      </c>
      <c r="C1523" t="s">
        <v>100</v>
      </c>
      <c r="D1523" t="s">
        <v>66</v>
      </c>
      <c r="E1523" t="s">
        <v>1232</v>
      </c>
      <c r="F1523" s="13">
        <v>1</v>
      </c>
      <c r="G1523" s="14">
        <v>6301.1</v>
      </c>
      <c r="H1523" s="13">
        <v>217</v>
      </c>
      <c r="I1523" t="s">
        <v>77</v>
      </c>
    </row>
    <row r="1524" spans="1:9" x14ac:dyDescent="0.3">
      <c r="A1524">
        <v>6368</v>
      </c>
      <c r="B1524" t="s">
        <v>1235</v>
      </c>
      <c r="C1524" t="s">
        <v>92</v>
      </c>
      <c r="D1524" t="s">
        <v>64</v>
      </c>
      <c r="E1524" t="s">
        <v>1232</v>
      </c>
      <c r="F1524" s="13">
        <v>1</v>
      </c>
      <c r="G1524" s="14">
        <v>691.13</v>
      </c>
      <c r="H1524" s="13">
        <v>217</v>
      </c>
      <c r="I1524" t="s">
        <v>77</v>
      </c>
    </row>
    <row r="1525" spans="1:9" x14ac:dyDescent="0.3">
      <c r="A1525">
        <v>6458</v>
      </c>
      <c r="B1525" t="s">
        <v>113</v>
      </c>
      <c r="C1525" t="s">
        <v>92</v>
      </c>
      <c r="D1525" t="s">
        <v>64</v>
      </c>
      <c r="E1525" t="s">
        <v>1232</v>
      </c>
      <c r="F1525" s="13">
        <v>1</v>
      </c>
      <c r="G1525" s="14">
        <v>5492.97</v>
      </c>
      <c r="H1525" s="13">
        <v>217</v>
      </c>
      <c r="I1525" t="s">
        <v>77</v>
      </c>
    </row>
    <row r="1526" spans="1:9" x14ac:dyDescent="0.3">
      <c r="A1526">
        <v>6639</v>
      </c>
      <c r="B1526" t="s">
        <v>1236</v>
      </c>
      <c r="C1526" t="s">
        <v>103</v>
      </c>
      <c r="D1526" t="s">
        <v>67</v>
      </c>
      <c r="E1526" t="s">
        <v>1232</v>
      </c>
      <c r="F1526" s="13">
        <v>3</v>
      </c>
      <c r="G1526" s="14">
        <v>12443.75</v>
      </c>
      <c r="H1526" s="13">
        <v>217</v>
      </c>
      <c r="I1526" t="s">
        <v>77</v>
      </c>
    </row>
    <row r="1527" spans="1:9" x14ac:dyDescent="0.3">
      <c r="A1527">
        <v>8135</v>
      </c>
      <c r="B1527" t="s">
        <v>668</v>
      </c>
      <c r="C1527" t="s">
        <v>95</v>
      </c>
      <c r="D1527" t="s">
        <v>65</v>
      </c>
      <c r="E1527" t="s">
        <v>1232</v>
      </c>
      <c r="F1527" s="13">
        <v>1</v>
      </c>
      <c r="G1527" s="14">
        <v>1725.43</v>
      </c>
      <c r="H1527" s="13">
        <v>217</v>
      </c>
      <c r="I1527" t="s">
        <v>77</v>
      </c>
    </row>
    <row r="1528" spans="1:9" x14ac:dyDescent="0.3">
      <c r="A1528">
        <v>8799</v>
      </c>
      <c r="B1528" t="s">
        <v>202</v>
      </c>
      <c r="C1528" t="s">
        <v>133</v>
      </c>
      <c r="D1528" t="s">
        <v>64</v>
      </c>
      <c r="E1528" t="s">
        <v>1232</v>
      </c>
      <c r="F1528" s="13">
        <v>1</v>
      </c>
      <c r="G1528" s="14">
        <v>172.82</v>
      </c>
      <c r="H1528" s="13">
        <v>217</v>
      </c>
      <c r="I1528" t="s">
        <v>77</v>
      </c>
    </row>
    <row r="1529" spans="1:9" x14ac:dyDescent="0.3">
      <c r="A1529">
        <v>70</v>
      </c>
      <c r="B1529" t="s">
        <v>132</v>
      </c>
      <c r="C1529" t="s">
        <v>100</v>
      </c>
      <c r="D1529" t="s">
        <v>66</v>
      </c>
      <c r="E1529" t="s">
        <v>1237</v>
      </c>
      <c r="F1529" s="13">
        <v>2</v>
      </c>
      <c r="G1529" s="14">
        <v>4148.1400000000003</v>
      </c>
      <c r="H1529" s="13">
        <v>216</v>
      </c>
      <c r="I1529" t="s">
        <v>77</v>
      </c>
    </row>
    <row r="1530" spans="1:9" x14ac:dyDescent="0.3">
      <c r="A1530">
        <v>438</v>
      </c>
      <c r="B1530" t="s">
        <v>1238</v>
      </c>
      <c r="C1530" t="s">
        <v>95</v>
      </c>
      <c r="D1530" t="s">
        <v>65</v>
      </c>
      <c r="E1530" t="s">
        <v>1237</v>
      </c>
      <c r="F1530" s="13">
        <v>1</v>
      </c>
      <c r="G1530" s="14">
        <v>668.36</v>
      </c>
      <c r="H1530" s="13">
        <v>216</v>
      </c>
      <c r="I1530" t="s">
        <v>77</v>
      </c>
    </row>
    <row r="1531" spans="1:9" x14ac:dyDescent="0.3">
      <c r="A1531">
        <v>720</v>
      </c>
      <c r="B1531" t="s">
        <v>1239</v>
      </c>
      <c r="C1531" t="s">
        <v>123</v>
      </c>
      <c r="D1531" t="s">
        <v>65</v>
      </c>
      <c r="E1531" t="s">
        <v>1237</v>
      </c>
      <c r="F1531" s="13">
        <v>1</v>
      </c>
      <c r="G1531" s="14">
        <v>1342.26</v>
      </c>
      <c r="H1531" s="13">
        <v>216</v>
      </c>
      <c r="I1531" t="s">
        <v>77</v>
      </c>
    </row>
    <row r="1532" spans="1:9" x14ac:dyDescent="0.3">
      <c r="A1532">
        <v>981</v>
      </c>
      <c r="B1532" t="s">
        <v>438</v>
      </c>
      <c r="C1532" t="s">
        <v>137</v>
      </c>
      <c r="D1532" t="s">
        <v>64</v>
      </c>
      <c r="E1532" t="s">
        <v>1237</v>
      </c>
      <c r="F1532" s="13">
        <v>1</v>
      </c>
      <c r="G1532" s="14">
        <v>2915.3</v>
      </c>
      <c r="H1532" s="13">
        <v>216</v>
      </c>
      <c r="I1532" t="s">
        <v>77</v>
      </c>
    </row>
    <row r="1533" spans="1:9" x14ac:dyDescent="0.3">
      <c r="A1533">
        <v>1592</v>
      </c>
      <c r="B1533" t="s">
        <v>1240</v>
      </c>
      <c r="C1533" t="s">
        <v>90</v>
      </c>
      <c r="D1533" t="s">
        <v>66</v>
      </c>
      <c r="E1533" t="s">
        <v>1237</v>
      </c>
      <c r="F1533" s="13">
        <v>3</v>
      </c>
      <c r="G1533" s="14">
        <v>2710.74</v>
      </c>
      <c r="H1533" s="13">
        <v>216</v>
      </c>
      <c r="I1533" t="s">
        <v>77</v>
      </c>
    </row>
    <row r="1534" spans="1:9" x14ac:dyDescent="0.3">
      <c r="A1534">
        <v>3564</v>
      </c>
      <c r="B1534" t="s">
        <v>89</v>
      </c>
      <c r="C1534" t="s">
        <v>95</v>
      </c>
      <c r="D1534" t="s">
        <v>65</v>
      </c>
      <c r="E1534" t="s">
        <v>1237</v>
      </c>
      <c r="F1534" s="13">
        <v>3</v>
      </c>
      <c r="G1534" s="14">
        <v>9023.32</v>
      </c>
      <c r="H1534" s="13">
        <v>216</v>
      </c>
      <c r="I1534" t="s">
        <v>77</v>
      </c>
    </row>
    <row r="1535" spans="1:9" x14ac:dyDescent="0.3">
      <c r="A1535">
        <v>3836</v>
      </c>
      <c r="B1535" t="s">
        <v>311</v>
      </c>
      <c r="C1535" t="s">
        <v>92</v>
      </c>
      <c r="D1535" t="s">
        <v>64</v>
      </c>
      <c r="E1535" t="s">
        <v>1237</v>
      </c>
      <c r="F1535" s="13">
        <v>1</v>
      </c>
      <c r="G1535" s="14">
        <v>164.81</v>
      </c>
      <c r="H1535" s="13">
        <v>216</v>
      </c>
      <c r="I1535" t="s">
        <v>77</v>
      </c>
    </row>
    <row r="1536" spans="1:9" x14ac:dyDescent="0.3">
      <c r="A1536">
        <v>4556</v>
      </c>
      <c r="B1536" t="s">
        <v>1235</v>
      </c>
      <c r="C1536" t="s">
        <v>92</v>
      </c>
      <c r="D1536" t="s">
        <v>64</v>
      </c>
      <c r="E1536" t="s">
        <v>1237</v>
      </c>
      <c r="F1536" s="13">
        <v>1</v>
      </c>
      <c r="G1536" s="14">
        <v>1505.85</v>
      </c>
      <c r="H1536" s="13">
        <v>216</v>
      </c>
      <c r="I1536" t="s">
        <v>77</v>
      </c>
    </row>
    <row r="1537" spans="1:9" x14ac:dyDescent="0.3">
      <c r="A1537">
        <v>4771</v>
      </c>
      <c r="B1537" t="s">
        <v>850</v>
      </c>
      <c r="C1537" t="s">
        <v>92</v>
      </c>
      <c r="D1537" t="s">
        <v>64</v>
      </c>
      <c r="E1537" t="s">
        <v>1237</v>
      </c>
      <c r="F1537" s="13">
        <v>2</v>
      </c>
      <c r="G1537" s="14">
        <v>1220.29</v>
      </c>
      <c r="H1537" s="13">
        <v>216</v>
      </c>
      <c r="I1537" t="s">
        <v>77</v>
      </c>
    </row>
    <row r="1538" spans="1:9" x14ac:dyDescent="0.3">
      <c r="A1538">
        <v>5328</v>
      </c>
      <c r="B1538" t="s">
        <v>760</v>
      </c>
      <c r="C1538" t="s">
        <v>123</v>
      </c>
      <c r="D1538" t="s">
        <v>65</v>
      </c>
      <c r="E1538" t="s">
        <v>1237</v>
      </c>
      <c r="F1538" s="13">
        <v>3</v>
      </c>
      <c r="G1538" s="14">
        <v>8260.61</v>
      </c>
      <c r="H1538" s="13">
        <v>216</v>
      </c>
      <c r="I1538" t="s">
        <v>77</v>
      </c>
    </row>
    <row r="1539" spans="1:9" x14ac:dyDescent="0.3">
      <c r="A1539">
        <v>5679</v>
      </c>
      <c r="B1539" t="s">
        <v>1241</v>
      </c>
      <c r="C1539" t="s">
        <v>133</v>
      </c>
      <c r="D1539" t="s">
        <v>64</v>
      </c>
      <c r="E1539" t="s">
        <v>1237</v>
      </c>
      <c r="F1539" s="13">
        <v>4</v>
      </c>
      <c r="G1539" s="14">
        <v>10705.64</v>
      </c>
      <c r="H1539" s="13">
        <v>216</v>
      </c>
      <c r="I1539" t="s">
        <v>77</v>
      </c>
    </row>
    <row r="1540" spans="1:9" x14ac:dyDescent="0.3">
      <c r="A1540">
        <v>6208</v>
      </c>
      <c r="B1540" t="s">
        <v>505</v>
      </c>
      <c r="C1540" t="s">
        <v>137</v>
      </c>
      <c r="D1540" t="s">
        <v>64</v>
      </c>
      <c r="E1540" t="s">
        <v>1237</v>
      </c>
      <c r="F1540" s="13">
        <v>1</v>
      </c>
      <c r="G1540" s="14">
        <v>900.35</v>
      </c>
      <c r="H1540" s="13">
        <v>216</v>
      </c>
      <c r="I1540" t="s">
        <v>77</v>
      </c>
    </row>
    <row r="1541" spans="1:9" x14ac:dyDescent="0.3">
      <c r="A1541">
        <v>6893</v>
      </c>
      <c r="B1541" t="s">
        <v>460</v>
      </c>
      <c r="C1541" t="s">
        <v>92</v>
      </c>
      <c r="D1541" t="s">
        <v>64</v>
      </c>
      <c r="E1541" t="s">
        <v>1237</v>
      </c>
      <c r="F1541" s="13">
        <v>4</v>
      </c>
      <c r="G1541" s="14">
        <v>6876.92</v>
      </c>
      <c r="H1541" s="13">
        <v>216</v>
      </c>
      <c r="I1541" t="s">
        <v>77</v>
      </c>
    </row>
    <row r="1542" spans="1:9" x14ac:dyDescent="0.3">
      <c r="A1542">
        <v>6959</v>
      </c>
      <c r="B1542" t="s">
        <v>1242</v>
      </c>
      <c r="C1542" t="s">
        <v>114</v>
      </c>
      <c r="D1542" t="s">
        <v>66</v>
      </c>
      <c r="E1542" t="s">
        <v>1237</v>
      </c>
      <c r="F1542" s="13">
        <v>3</v>
      </c>
      <c r="G1542" s="14">
        <v>5995.97</v>
      </c>
      <c r="H1542" s="13">
        <v>216</v>
      </c>
      <c r="I1542" t="s">
        <v>77</v>
      </c>
    </row>
    <row r="1543" spans="1:9" x14ac:dyDescent="0.3">
      <c r="A1543">
        <v>4553</v>
      </c>
      <c r="B1543" t="s">
        <v>295</v>
      </c>
      <c r="C1543" t="s">
        <v>87</v>
      </c>
      <c r="D1543" t="s">
        <v>64</v>
      </c>
      <c r="E1543" t="s">
        <v>1243</v>
      </c>
      <c r="F1543" s="13">
        <v>1</v>
      </c>
      <c r="G1543" s="14">
        <v>1682.19</v>
      </c>
      <c r="H1543" s="13">
        <v>215</v>
      </c>
      <c r="I1543" t="s">
        <v>77</v>
      </c>
    </row>
    <row r="1544" spans="1:9" x14ac:dyDescent="0.3">
      <c r="A1544">
        <v>4828</v>
      </c>
      <c r="B1544" t="s">
        <v>1244</v>
      </c>
      <c r="C1544" t="s">
        <v>133</v>
      </c>
      <c r="D1544" t="s">
        <v>64</v>
      </c>
      <c r="E1544" t="s">
        <v>1243</v>
      </c>
      <c r="F1544" s="13">
        <v>1</v>
      </c>
      <c r="G1544" s="14">
        <v>1214.08</v>
      </c>
      <c r="H1544" s="13">
        <v>215</v>
      </c>
      <c r="I1544" t="s">
        <v>77</v>
      </c>
    </row>
    <row r="1545" spans="1:9" x14ac:dyDescent="0.3">
      <c r="A1545">
        <v>5617</v>
      </c>
      <c r="B1545" t="s">
        <v>648</v>
      </c>
      <c r="C1545" t="s">
        <v>90</v>
      </c>
      <c r="D1545" t="s">
        <v>66</v>
      </c>
      <c r="E1545" t="s">
        <v>1243</v>
      </c>
      <c r="F1545" s="13">
        <v>1</v>
      </c>
      <c r="G1545" s="14">
        <v>1145.47</v>
      </c>
      <c r="H1545" s="13">
        <v>215</v>
      </c>
      <c r="I1545" t="s">
        <v>77</v>
      </c>
    </row>
    <row r="1546" spans="1:9" x14ac:dyDescent="0.3">
      <c r="A1546">
        <v>7071</v>
      </c>
      <c r="B1546" t="s">
        <v>1245</v>
      </c>
      <c r="C1546" t="s">
        <v>95</v>
      </c>
      <c r="D1546" t="s">
        <v>65</v>
      </c>
      <c r="E1546" t="s">
        <v>1243</v>
      </c>
      <c r="F1546" s="13">
        <v>1</v>
      </c>
      <c r="G1546" s="14">
        <v>402.7</v>
      </c>
      <c r="H1546" s="13">
        <v>215</v>
      </c>
      <c r="I1546" t="s">
        <v>77</v>
      </c>
    </row>
    <row r="1547" spans="1:9" x14ac:dyDescent="0.3">
      <c r="A1547">
        <v>8113</v>
      </c>
      <c r="B1547" t="s">
        <v>297</v>
      </c>
      <c r="C1547" t="s">
        <v>473</v>
      </c>
      <c r="D1547" t="s">
        <v>68</v>
      </c>
      <c r="E1547" t="s">
        <v>1243</v>
      </c>
      <c r="F1547" s="13">
        <v>1</v>
      </c>
      <c r="G1547" s="14">
        <v>1520.41</v>
      </c>
      <c r="H1547" s="13">
        <v>215</v>
      </c>
      <c r="I1547" t="s">
        <v>77</v>
      </c>
    </row>
    <row r="1548" spans="1:9" x14ac:dyDescent="0.3">
      <c r="A1548">
        <v>8821</v>
      </c>
      <c r="B1548" t="s">
        <v>1246</v>
      </c>
      <c r="C1548" t="s">
        <v>90</v>
      </c>
      <c r="D1548" t="s">
        <v>66</v>
      </c>
      <c r="E1548" t="s">
        <v>1243</v>
      </c>
      <c r="F1548" s="13">
        <v>2</v>
      </c>
      <c r="G1548" s="14">
        <v>8673.35</v>
      </c>
      <c r="H1548" s="13">
        <v>215</v>
      </c>
      <c r="I1548" t="s">
        <v>77</v>
      </c>
    </row>
    <row r="1549" spans="1:9" x14ac:dyDescent="0.3">
      <c r="A1549">
        <v>892</v>
      </c>
      <c r="B1549" t="s">
        <v>507</v>
      </c>
      <c r="C1549" t="s">
        <v>100</v>
      </c>
      <c r="D1549" t="s">
        <v>66</v>
      </c>
      <c r="E1549" t="s">
        <v>1247</v>
      </c>
      <c r="F1549" s="13">
        <v>1</v>
      </c>
      <c r="G1549" s="14">
        <v>1882.47</v>
      </c>
      <c r="H1549" s="13">
        <v>214</v>
      </c>
      <c r="I1549" t="s">
        <v>77</v>
      </c>
    </row>
    <row r="1550" spans="1:9" x14ac:dyDescent="0.3">
      <c r="A1550">
        <v>2824</v>
      </c>
      <c r="B1550" t="s">
        <v>1248</v>
      </c>
      <c r="C1550" t="s">
        <v>133</v>
      </c>
      <c r="D1550" t="s">
        <v>64</v>
      </c>
      <c r="E1550" t="s">
        <v>1247</v>
      </c>
      <c r="F1550" s="13">
        <v>1</v>
      </c>
      <c r="G1550" s="14">
        <v>811.61</v>
      </c>
      <c r="H1550" s="13">
        <v>214</v>
      </c>
      <c r="I1550" t="s">
        <v>77</v>
      </c>
    </row>
    <row r="1551" spans="1:9" x14ac:dyDescent="0.3">
      <c r="A1551">
        <v>3257</v>
      </c>
      <c r="B1551" t="s">
        <v>302</v>
      </c>
      <c r="C1551" t="s">
        <v>123</v>
      </c>
      <c r="D1551" t="s">
        <v>65</v>
      </c>
      <c r="E1551" t="s">
        <v>1247</v>
      </c>
      <c r="F1551" s="13">
        <v>2</v>
      </c>
      <c r="G1551" s="14">
        <v>7608.73</v>
      </c>
      <c r="H1551" s="13">
        <v>214</v>
      </c>
      <c r="I1551" t="s">
        <v>77</v>
      </c>
    </row>
    <row r="1552" spans="1:9" x14ac:dyDescent="0.3">
      <c r="A1552">
        <v>6278</v>
      </c>
      <c r="B1552" t="s">
        <v>1249</v>
      </c>
      <c r="C1552" t="s">
        <v>92</v>
      </c>
      <c r="D1552" t="s">
        <v>64</v>
      </c>
      <c r="E1552" t="s">
        <v>1247</v>
      </c>
      <c r="F1552" s="13">
        <v>1</v>
      </c>
      <c r="G1552" s="14">
        <v>2175.75</v>
      </c>
      <c r="H1552" s="13">
        <v>214</v>
      </c>
      <c r="I1552" t="s">
        <v>77</v>
      </c>
    </row>
    <row r="1553" spans="1:9" x14ac:dyDescent="0.3">
      <c r="A1553">
        <v>6643</v>
      </c>
      <c r="B1553" t="s">
        <v>740</v>
      </c>
      <c r="C1553" t="s">
        <v>92</v>
      </c>
      <c r="D1553" t="s">
        <v>64</v>
      </c>
      <c r="E1553" t="s">
        <v>1247</v>
      </c>
      <c r="F1553" s="13">
        <v>2</v>
      </c>
      <c r="G1553" s="14">
        <v>1568.24</v>
      </c>
      <c r="H1553" s="13">
        <v>214</v>
      </c>
      <c r="I1553" t="s">
        <v>77</v>
      </c>
    </row>
    <row r="1554" spans="1:9" x14ac:dyDescent="0.3">
      <c r="A1554">
        <v>7187</v>
      </c>
      <c r="B1554" t="s">
        <v>694</v>
      </c>
      <c r="C1554" t="s">
        <v>137</v>
      </c>
      <c r="D1554" t="s">
        <v>64</v>
      </c>
      <c r="E1554" t="s">
        <v>1247</v>
      </c>
      <c r="F1554" s="13">
        <v>1</v>
      </c>
      <c r="G1554" s="14">
        <v>410.37</v>
      </c>
      <c r="H1554" s="13">
        <v>214</v>
      </c>
      <c r="I1554" t="s">
        <v>77</v>
      </c>
    </row>
    <row r="1555" spans="1:9" x14ac:dyDescent="0.3">
      <c r="A1555">
        <v>1980</v>
      </c>
      <c r="B1555" t="s">
        <v>1250</v>
      </c>
      <c r="C1555" t="s">
        <v>92</v>
      </c>
      <c r="D1555" t="s">
        <v>64</v>
      </c>
      <c r="E1555" t="s">
        <v>1251</v>
      </c>
      <c r="F1555" s="13">
        <v>1</v>
      </c>
      <c r="G1555" s="14">
        <v>1884.3</v>
      </c>
      <c r="H1555" s="13">
        <v>213</v>
      </c>
      <c r="I1555" t="s">
        <v>77</v>
      </c>
    </row>
    <row r="1556" spans="1:9" x14ac:dyDescent="0.3">
      <c r="A1556">
        <v>3122</v>
      </c>
      <c r="B1556" t="s">
        <v>259</v>
      </c>
      <c r="C1556" t="s">
        <v>97</v>
      </c>
      <c r="D1556" t="s">
        <v>65</v>
      </c>
      <c r="E1556" t="s">
        <v>1251</v>
      </c>
      <c r="F1556" s="13">
        <v>1</v>
      </c>
      <c r="G1556" s="14">
        <v>168.22</v>
      </c>
      <c r="H1556" s="13">
        <v>213</v>
      </c>
      <c r="I1556" t="s">
        <v>77</v>
      </c>
    </row>
    <row r="1557" spans="1:9" x14ac:dyDescent="0.3">
      <c r="A1557">
        <v>3683</v>
      </c>
      <c r="B1557" t="s">
        <v>321</v>
      </c>
      <c r="C1557" t="s">
        <v>92</v>
      </c>
      <c r="D1557" t="s">
        <v>64</v>
      </c>
      <c r="E1557" t="s">
        <v>1251</v>
      </c>
      <c r="F1557" s="13">
        <v>1</v>
      </c>
      <c r="G1557" s="14">
        <v>1955.53</v>
      </c>
      <c r="H1557" s="13">
        <v>213</v>
      </c>
      <c r="I1557" t="s">
        <v>77</v>
      </c>
    </row>
    <row r="1558" spans="1:9" x14ac:dyDescent="0.3">
      <c r="A1558">
        <v>6016</v>
      </c>
      <c r="B1558" t="s">
        <v>1252</v>
      </c>
      <c r="C1558" t="s">
        <v>97</v>
      </c>
      <c r="D1558" t="s">
        <v>65</v>
      </c>
      <c r="E1558" t="s">
        <v>1251</v>
      </c>
      <c r="F1558" s="13">
        <v>1</v>
      </c>
      <c r="G1558" s="14">
        <v>1775.39</v>
      </c>
      <c r="H1558" s="13">
        <v>213</v>
      </c>
      <c r="I1558" t="s">
        <v>77</v>
      </c>
    </row>
    <row r="1559" spans="1:9" x14ac:dyDescent="0.3">
      <c r="A1559">
        <v>6262</v>
      </c>
      <c r="B1559" t="s">
        <v>1253</v>
      </c>
      <c r="C1559" t="s">
        <v>92</v>
      </c>
      <c r="D1559" t="s">
        <v>64</v>
      </c>
      <c r="E1559" t="s">
        <v>1251</v>
      </c>
      <c r="F1559" s="13">
        <v>2</v>
      </c>
      <c r="G1559" s="14">
        <v>1432.51</v>
      </c>
      <c r="H1559" s="13">
        <v>213</v>
      </c>
      <c r="I1559" t="s">
        <v>77</v>
      </c>
    </row>
    <row r="1560" spans="1:9" x14ac:dyDescent="0.3">
      <c r="A1560">
        <v>141</v>
      </c>
      <c r="B1560" t="s">
        <v>1254</v>
      </c>
      <c r="C1560" t="s">
        <v>123</v>
      </c>
      <c r="D1560" t="s">
        <v>65</v>
      </c>
      <c r="E1560" t="s">
        <v>1255</v>
      </c>
      <c r="F1560" s="13">
        <v>1</v>
      </c>
      <c r="G1560" s="14">
        <v>2546.27</v>
      </c>
      <c r="H1560" s="13">
        <v>212</v>
      </c>
      <c r="I1560" t="s">
        <v>77</v>
      </c>
    </row>
    <row r="1561" spans="1:9" x14ac:dyDescent="0.3">
      <c r="A1561">
        <v>699</v>
      </c>
      <c r="B1561" t="s">
        <v>668</v>
      </c>
      <c r="C1561" t="s">
        <v>133</v>
      </c>
      <c r="D1561" t="s">
        <v>64</v>
      </c>
      <c r="E1561" t="s">
        <v>1255</v>
      </c>
      <c r="F1561" s="13">
        <v>1</v>
      </c>
      <c r="G1561" s="14">
        <v>3105.69</v>
      </c>
      <c r="H1561" s="13">
        <v>212</v>
      </c>
      <c r="I1561" t="s">
        <v>77</v>
      </c>
    </row>
    <row r="1562" spans="1:9" x14ac:dyDescent="0.3">
      <c r="A1562">
        <v>1201</v>
      </c>
      <c r="B1562" t="s">
        <v>149</v>
      </c>
      <c r="C1562" t="s">
        <v>92</v>
      </c>
      <c r="D1562" t="s">
        <v>64</v>
      </c>
      <c r="E1562" t="s">
        <v>1255</v>
      </c>
      <c r="F1562" s="13">
        <v>2</v>
      </c>
      <c r="G1562" s="14">
        <v>5706.24</v>
      </c>
      <c r="H1562" s="13">
        <v>212</v>
      </c>
      <c r="I1562" t="s">
        <v>77</v>
      </c>
    </row>
    <row r="1563" spans="1:9" x14ac:dyDescent="0.3">
      <c r="A1563">
        <v>1919</v>
      </c>
      <c r="B1563" t="s">
        <v>204</v>
      </c>
      <c r="C1563" t="s">
        <v>249</v>
      </c>
      <c r="D1563" t="s">
        <v>67</v>
      </c>
      <c r="E1563" t="s">
        <v>1255</v>
      </c>
      <c r="F1563" s="13">
        <v>2</v>
      </c>
      <c r="G1563" s="14">
        <v>9324.1299999999992</v>
      </c>
      <c r="H1563" s="13">
        <v>212</v>
      </c>
      <c r="I1563" t="s">
        <v>77</v>
      </c>
    </row>
    <row r="1564" spans="1:9" x14ac:dyDescent="0.3">
      <c r="A1564">
        <v>2177</v>
      </c>
      <c r="B1564" t="s">
        <v>588</v>
      </c>
      <c r="C1564" t="s">
        <v>137</v>
      </c>
      <c r="D1564" t="s">
        <v>64</v>
      </c>
      <c r="E1564" t="s">
        <v>1255</v>
      </c>
      <c r="F1564" s="13">
        <v>2</v>
      </c>
      <c r="G1564" s="14">
        <v>5949.47</v>
      </c>
      <c r="H1564" s="13">
        <v>212</v>
      </c>
      <c r="I1564" t="s">
        <v>77</v>
      </c>
    </row>
    <row r="1565" spans="1:9" x14ac:dyDescent="0.3">
      <c r="A1565">
        <v>3562</v>
      </c>
      <c r="B1565" t="s">
        <v>527</v>
      </c>
      <c r="C1565" t="s">
        <v>133</v>
      </c>
      <c r="D1565" t="s">
        <v>64</v>
      </c>
      <c r="E1565" t="s">
        <v>1255</v>
      </c>
      <c r="F1565" s="13">
        <v>4</v>
      </c>
      <c r="G1565" s="14">
        <v>2949.57</v>
      </c>
      <c r="H1565" s="13">
        <v>212</v>
      </c>
      <c r="I1565" t="s">
        <v>77</v>
      </c>
    </row>
    <row r="1566" spans="1:9" x14ac:dyDescent="0.3">
      <c r="A1566">
        <v>3636</v>
      </c>
      <c r="B1566" t="s">
        <v>694</v>
      </c>
      <c r="C1566" t="s">
        <v>137</v>
      </c>
      <c r="D1566" t="s">
        <v>64</v>
      </c>
      <c r="E1566" t="s">
        <v>1255</v>
      </c>
      <c r="F1566" s="13">
        <v>3</v>
      </c>
      <c r="G1566" s="14">
        <v>5939.73</v>
      </c>
      <c r="H1566" s="13">
        <v>212</v>
      </c>
      <c r="I1566" t="s">
        <v>77</v>
      </c>
    </row>
    <row r="1567" spans="1:9" x14ac:dyDescent="0.3">
      <c r="A1567">
        <v>4944</v>
      </c>
      <c r="B1567" t="s">
        <v>1256</v>
      </c>
      <c r="C1567" t="s">
        <v>92</v>
      </c>
      <c r="D1567" t="s">
        <v>64</v>
      </c>
      <c r="E1567" t="s">
        <v>1255</v>
      </c>
      <c r="F1567" s="13">
        <v>2</v>
      </c>
      <c r="G1567" s="14">
        <v>2605.6799999999998</v>
      </c>
      <c r="H1567" s="13">
        <v>212</v>
      </c>
      <c r="I1567" t="s">
        <v>77</v>
      </c>
    </row>
    <row r="1568" spans="1:9" x14ac:dyDescent="0.3">
      <c r="A1568">
        <v>6733</v>
      </c>
      <c r="B1568" t="s">
        <v>277</v>
      </c>
      <c r="C1568" t="s">
        <v>137</v>
      </c>
      <c r="D1568" t="s">
        <v>64</v>
      </c>
      <c r="E1568" t="s">
        <v>1255</v>
      </c>
      <c r="F1568" s="13">
        <v>2</v>
      </c>
      <c r="G1568" s="14">
        <v>1292.31</v>
      </c>
      <c r="H1568" s="13">
        <v>212</v>
      </c>
      <c r="I1568" t="s">
        <v>77</v>
      </c>
    </row>
    <row r="1569" spans="1:9" x14ac:dyDescent="0.3">
      <c r="A1569">
        <v>6775</v>
      </c>
      <c r="B1569" t="s">
        <v>259</v>
      </c>
      <c r="C1569" t="s">
        <v>137</v>
      </c>
      <c r="D1569" t="s">
        <v>64</v>
      </c>
      <c r="E1569" t="s">
        <v>1255</v>
      </c>
      <c r="F1569" s="13">
        <v>2</v>
      </c>
      <c r="G1569" s="14">
        <v>395.78</v>
      </c>
      <c r="H1569" s="13">
        <v>212</v>
      </c>
      <c r="I1569" t="s">
        <v>77</v>
      </c>
    </row>
    <row r="1570" spans="1:9" x14ac:dyDescent="0.3">
      <c r="A1570">
        <v>6858</v>
      </c>
      <c r="B1570" t="s">
        <v>297</v>
      </c>
      <c r="C1570" t="s">
        <v>137</v>
      </c>
      <c r="D1570" t="s">
        <v>64</v>
      </c>
      <c r="E1570" t="s">
        <v>1255</v>
      </c>
      <c r="F1570" s="13">
        <v>2</v>
      </c>
      <c r="G1570" s="14">
        <v>2083.94</v>
      </c>
      <c r="H1570" s="13">
        <v>212</v>
      </c>
      <c r="I1570" t="s">
        <v>77</v>
      </c>
    </row>
    <row r="1571" spans="1:9" x14ac:dyDescent="0.3">
      <c r="A1571">
        <v>6905</v>
      </c>
      <c r="B1571" t="s">
        <v>438</v>
      </c>
      <c r="C1571" t="s">
        <v>92</v>
      </c>
      <c r="D1571" t="s">
        <v>64</v>
      </c>
      <c r="E1571" t="s">
        <v>1255</v>
      </c>
      <c r="F1571" s="13">
        <v>1</v>
      </c>
      <c r="G1571" s="14">
        <v>739</v>
      </c>
      <c r="H1571" s="13">
        <v>212</v>
      </c>
      <c r="I1571" t="s">
        <v>77</v>
      </c>
    </row>
    <row r="1572" spans="1:9" x14ac:dyDescent="0.3">
      <c r="A1572">
        <v>7175</v>
      </c>
      <c r="B1572" t="s">
        <v>99</v>
      </c>
      <c r="C1572" t="s">
        <v>95</v>
      </c>
      <c r="D1572" t="s">
        <v>65</v>
      </c>
      <c r="E1572" t="s">
        <v>1255</v>
      </c>
      <c r="F1572" s="13">
        <v>1</v>
      </c>
      <c r="G1572" s="14">
        <v>314.31</v>
      </c>
      <c r="H1572" s="13">
        <v>212</v>
      </c>
      <c r="I1572" t="s">
        <v>77</v>
      </c>
    </row>
    <row r="1573" spans="1:9" x14ac:dyDescent="0.3">
      <c r="A1573">
        <v>7673</v>
      </c>
      <c r="B1573" t="s">
        <v>724</v>
      </c>
      <c r="C1573" t="s">
        <v>133</v>
      </c>
      <c r="D1573" t="s">
        <v>64</v>
      </c>
      <c r="E1573" t="s">
        <v>1255</v>
      </c>
      <c r="F1573" s="13">
        <v>1</v>
      </c>
      <c r="G1573" s="14">
        <v>519.84</v>
      </c>
      <c r="H1573" s="13">
        <v>212</v>
      </c>
      <c r="I1573" t="s">
        <v>77</v>
      </c>
    </row>
    <row r="1574" spans="1:9" x14ac:dyDescent="0.3">
      <c r="A1574">
        <v>8236</v>
      </c>
      <c r="B1574" t="s">
        <v>1257</v>
      </c>
      <c r="C1574" t="s">
        <v>133</v>
      </c>
      <c r="D1574" t="s">
        <v>64</v>
      </c>
      <c r="E1574" t="s">
        <v>1255</v>
      </c>
      <c r="F1574" s="13">
        <v>2</v>
      </c>
      <c r="G1574" s="14">
        <v>2585.09</v>
      </c>
      <c r="H1574" s="13">
        <v>212</v>
      </c>
      <c r="I1574" t="s">
        <v>77</v>
      </c>
    </row>
    <row r="1575" spans="1:9" x14ac:dyDescent="0.3">
      <c r="A1575">
        <v>8602</v>
      </c>
      <c r="B1575" t="s">
        <v>348</v>
      </c>
      <c r="C1575" t="s">
        <v>100</v>
      </c>
      <c r="D1575" t="s">
        <v>66</v>
      </c>
      <c r="E1575" t="s">
        <v>1255</v>
      </c>
      <c r="F1575" s="13">
        <v>1</v>
      </c>
      <c r="G1575" s="14">
        <v>145.63999999999999</v>
      </c>
      <c r="H1575" s="13">
        <v>212</v>
      </c>
      <c r="I1575" t="s">
        <v>77</v>
      </c>
    </row>
    <row r="1576" spans="1:9" x14ac:dyDescent="0.3">
      <c r="A1576">
        <v>175</v>
      </c>
      <c r="B1576" t="s">
        <v>182</v>
      </c>
      <c r="C1576" t="s">
        <v>92</v>
      </c>
      <c r="D1576" t="s">
        <v>64</v>
      </c>
      <c r="E1576" t="s">
        <v>1258</v>
      </c>
      <c r="F1576" s="13">
        <v>2</v>
      </c>
      <c r="G1576" s="14">
        <v>6097.57</v>
      </c>
      <c r="H1576" s="13">
        <v>211</v>
      </c>
      <c r="I1576" t="s">
        <v>77</v>
      </c>
    </row>
    <row r="1577" spans="1:9" x14ac:dyDescent="0.3">
      <c r="A1577">
        <v>1588</v>
      </c>
      <c r="B1577" t="s">
        <v>283</v>
      </c>
      <c r="C1577" t="s">
        <v>92</v>
      </c>
      <c r="D1577" t="s">
        <v>64</v>
      </c>
      <c r="E1577" t="s">
        <v>1258</v>
      </c>
      <c r="F1577" s="13">
        <v>1</v>
      </c>
      <c r="G1577" s="14">
        <v>1062.4000000000001</v>
      </c>
      <c r="H1577" s="13">
        <v>211</v>
      </c>
      <c r="I1577" t="s">
        <v>77</v>
      </c>
    </row>
    <row r="1578" spans="1:9" x14ac:dyDescent="0.3">
      <c r="A1578">
        <v>2772</v>
      </c>
      <c r="B1578" t="s">
        <v>1259</v>
      </c>
      <c r="C1578" t="s">
        <v>473</v>
      </c>
      <c r="D1578" t="s">
        <v>68</v>
      </c>
      <c r="E1578" t="s">
        <v>1258</v>
      </c>
      <c r="F1578" s="13">
        <v>2</v>
      </c>
      <c r="G1578" s="14">
        <v>5923.86</v>
      </c>
      <c r="H1578" s="13">
        <v>211</v>
      </c>
      <c r="I1578" t="s">
        <v>77</v>
      </c>
    </row>
    <row r="1579" spans="1:9" x14ac:dyDescent="0.3">
      <c r="A1579">
        <v>2801</v>
      </c>
      <c r="B1579" t="s">
        <v>1260</v>
      </c>
      <c r="C1579" t="s">
        <v>100</v>
      </c>
      <c r="D1579" t="s">
        <v>66</v>
      </c>
      <c r="E1579" t="s">
        <v>1258</v>
      </c>
      <c r="F1579" s="13">
        <v>2</v>
      </c>
      <c r="G1579" s="14">
        <v>1169.6199999999999</v>
      </c>
      <c r="H1579" s="13">
        <v>211</v>
      </c>
      <c r="I1579" t="s">
        <v>77</v>
      </c>
    </row>
    <row r="1580" spans="1:9" x14ac:dyDescent="0.3">
      <c r="A1580">
        <v>5220</v>
      </c>
      <c r="B1580" t="s">
        <v>199</v>
      </c>
      <c r="C1580" t="s">
        <v>92</v>
      </c>
      <c r="D1580" t="s">
        <v>64</v>
      </c>
      <c r="E1580" t="s">
        <v>1258</v>
      </c>
      <c r="F1580" s="13">
        <v>1</v>
      </c>
      <c r="G1580" s="14">
        <v>78.12</v>
      </c>
      <c r="H1580" s="13">
        <v>211</v>
      </c>
      <c r="I1580" t="s">
        <v>77</v>
      </c>
    </row>
    <row r="1581" spans="1:9" x14ac:dyDescent="0.3">
      <c r="A1581">
        <v>5307</v>
      </c>
      <c r="B1581" t="s">
        <v>201</v>
      </c>
      <c r="C1581" t="s">
        <v>137</v>
      </c>
      <c r="D1581" t="s">
        <v>64</v>
      </c>
      <c r="E1581" t="s">
        <v>1258</v>
      </c>
      <c r="F1581" s="13">
        <v>1</v>
      </c>
      <c r="G1581" s="14">
        <v>1221.01</v>
      </c>
      <c r="H1581" s="13">
        <v>211</v>
      </c>
      <c r="I1581" t="s">
        <v>77</v>
      </c>
    </row>
    <row r="1582" spans="1:9" x14ac:dyDescent="0.3">
      <c r="A1582">
        <v>7930</v>
      </c>
      <c r="B1582" t="s">
        <v>116</v>
      </c>
      <c r="C1582" t="s">
        <v>137</v>
      </c>
      <c r="D1582" t="s">
        <v>64</v>
      </c>
      <c r="E1582" t="s">
        <v>1258</v>
      </c>
      <c r="F1582" s="13">
        <v>2</v>
      </c>
      <c r="G1582" s="14">
        <v>1483.48</v>
      </c>
      <c r="H1582" s="13">
        <v>211</v>
      </c>
      <c r="I1582" t="s">
        <v>77</v>
      </c>
    </row>
    <row r="1583" spans="1:9" x14ac:dyDescent="0.3">
      <c r="A1583">
        <v>3412</v>
      </c>
      <c r="B1583" t="s">
        <v>1261</v>
      </c>
      <c r="C1583" t="s">
        <v>95</v>
      </c>
      <c r="D1583" t="s">
        <v>65</v>
      </c>
      <c r="E1583" t="s">
        <v>1262</v>
      </c>
      <c r="F1583" s="13">
        <v>5</v>
      </c>
      <c r="G1583" s="14">
        <v>4536.29</v>
      </c>
      <c r="H1583" s="13">
        <v>210</v>
      </c>
      <c r="I1583" t="s">
        <v>77</v>
      </c>
    </row>
    <row r="1584" spans="1:9" x14ac:dyDescent="0.3">
      <c r="A1584">
        <v>6232</v>
      </c>
      <c r="B1584" t="s">
        <v>1263</v>
      </c>
      <c r="C1584" t="s">
        <v>103</v>
      </c>
      <c r="D1584" t="s">
        <v>67</v>
      </c>
      <c r="E1584" t="s">
        <v>1262</v>
      </c>
      <c r="F1584" s="13">
        <v>1</v>
      </c>
      <c r="G1584" s="14">
        <v>11863.66</v>
      </c>
      <c r="H1584" s="13">
        <v>210</v>
      </c>
      <c r="I1584" t="s">
        <v>77</v>
      </c>
    </row>
    <row r="1585" spans="1:9" x14ac:dyDescent="0.3">
      <c r="A1585">
        <v>4587</v>
      </c>
      <c r="B1585" t="s">
        <v>1264</v>
      </c>
      <c r="C1585" t="s">
        <v>133</v>
      </c>
      <c r="D1585" t="s">
        <v>64</v>
      </c>
      <c r="E1585" t="s">
        <v>1265</v>
      </c>
      <c r="F1585" s="13">
        <v>2</v>
      </c>
      <c r="G1585" s="14">
        <v>3669.13</v>
      </c>
      <c r="H1585" s="13">
        <v>209</v>
      </c>
      <c r="I1585" t="s">
        <v>77</v>
      </c>
    </row>
    <row r="1586" spans="1:9" x14ac:dyDescent="0.3">
      <c r="A1586">
        <v>4644</v>
      </c>
      <c r="B1586" t="s">
        <v>1266</v>
      </c>
      <c r="C1586" t="s">
        <v>92</v>
      </c>
      <c r="D1586" t="s">
        <v>64</v>
      </c>
      <c r="E1586" t="s">
        <v>1265</v>
      </c>
      <c r="F1586" s="13">
        <v>2</v>
      </c>
      <c r="G1586" s="14">
        <v>2785.28</v>
      </c>
      <c r="H1586" s="13">
        <v>209</v>
      </c>
      <c r="I1586" t="s">
        <v>77</v>
      </c>
    </row>
    <row r="1587" spans="1:9" x14ac:dyDescent="0.3">
      <c r="A1587">
        <v>4681</v>
      </c>
      <c r="B1587" t="s">
        <v>178</v>
      </c>
      <c r="C1587" t="s">
        <v>90</v>
      </c>
      <c r="D1587" t="s">
        <v>66</v>
      </c>
      <c r="E1587" t="s">
        <v>1265</v>
      </c>
      <c r="F1587" s="13">
        <v>1</v>
      </c>
      <c r="G1587" s="14">
        <v>1866.16</v>
      </c>
      <c r="H1587" s="13">
        <v>209</v>
      </c>
      <c r="I1587" t="s">
        <v>77</v>
      </c>
    </row>
    <row r="1588" spans="1:9" x14ac:dyDescent="0.3">
      <c r="A1588">
        <v>5741</v>
      </c>
      <c r="B1588" t="s">
        <v>1267</v>
      </c>
      <c r="C1588" t="s">
        <v>92</v>
      </c>
      <c r="D1588" t="s">
        <v>64</v>
      </c>
      <c r="E1588" t="s">
        <v>1265</v>
      </c>
      <c r="F1588" s="13">
        <v>1</v>
      </c>
      <c r="G1588" s="14">
        <v>261.19</v>
      </c>
      <c r="H1588" s="13">
        <v>209</v>
      </c>
      <c r="I1588" t="s">
        <v>77</v>
      </c>
    </row>
    <row r="1589" spans="1:9" x14ac:dyDescent="0.3">
      <c r="A1589">
        <v>6301</v>
      </c>
      <c r="B1589" t="s">
        <v>201</v>
      </c>
      <c r="C1589" t="s">
        <v>137</v>
      </c>
      <c r="D1589" t="s">
        <v>64</v>
      </c>
      <c r="E1589" t="s">
        <v>1265</v>
      </c>
      <c r="F1589" s="13">
        <v>1</v>
      </c>
      <c r="G1589" s="14">
        <v>2396.4299999999998</v>
      </c>
      <c r="H1589" s="13">
        <v>209</v>
      </c>
      <c r="I1589" t="s">
        <v>77</v>
      </c>
    </row>
    <row r="1590" spans="1:9" x14ac:dyDescent="0.3">
      <c r="A1590">
        <v>7363</v>
      </c>
      <c r="B1590" t="s">
        <v>404</v>
      </c>
      <c r="C1590" t="s">
        <v>123</v>
      </c>
      <c r="D1590" t="s">
        <v>65</v>
      </c>
      <c r="E1590" t="s">
        <v>1265</v>
      </c>
      <c r="F1590" s="13">
        <v>3</v>
      </c>
      <c r="G1590" s="14">
        <v>4295.34</v>
      </c>
      <c r="H1590" s="13">
        <v>209</v>
      </c>
      <c r="I1590" t="s">
        <v>77</v>
      </c>
    </row>
    <row r="1591" spans="1:9" x14ac:dyDescent="0.3">
      <c r="A1591">
        <v>7474</v>
      </c>
      <c r="B1591" t="s">
        <v>826</v>
      </c>
      <c r="C1591" t="s">
        <v>133</v>
      </c>
      <c r="D1591" t="s">
        <v>64</v>
      </c>
      <c r="E1591" t="s">
        <v>1265</v>
      </c>
      <c r="F1591" s="13">
        <v>1</v>
      </c>
      <c r="G1591" s="14">
        <v>1323.39</v>
      </c>
      <c r="H1591" s="13">
        <v>209</v>
      </c>
      <c r="I1591" t="s">
        <v>77</v>
      </c>
    </row>
    <row r="1592" spans="1:9" x14ac:dyDescent="0.3">
      <c r="A1592">
        <v>7672</v>
      </c>
      <c r="B1592" t="s">
        <v>1268</v>
      </c>
      <c r="C1592" t="s">
        <v>90</v>
      </c>
      <c r="D1592" t="s">
        <v>66</v>
      </c>
      <c r="E1592" t="s">
        <v>1265</v>
      </c>
      <c r="F1592" s="13">
        <v>2</v>
      </c>
      <c r="G1592" s="14">
        <v>2429.5500000000002</v>
      </c>
      <c r="H1592" s="13">
        <v>209</v>
      </c>
      <c r="I1592" t="s">
        <v>77</v>
      </c>
    </row>
    <row r="1593" spans="1:9" x14ac:dyDescent="0.3">
      <c r="A1593">
        <v>71</v>
      </c>
      <c r="B1593" t="s">
        <v>1269</v>
      </c>
      <c r="C1593" t="s">
        <v>114</v>
      </c>
      <c r="D1593" t="s">
        <v>66</v>
      </c>
      <c r="E1593" t="s">
        <v>1270</v>
      </c>
      <c r="F1593" s="13">
        <v>1</v>
      </c>
      <c r="G1593" s="14">
        <v>5756.31</v>
      </c>
      <c r="H1593" s="13">
        <v>208</v>
      </c>
      <c r="I1593" t="s">
        <v>77</v>
      </c>
    </row>
    <row r="1594" spans="1:9" x14ac:dyDescent="0.3">
      <c r="A1594">
        <v>166</v>
      </c>
      <c r="B1594" t="s">
        <v>163</v>
      </c>
      <c r="C1594" t="s">
        <v>100</v>
      </c>
      <c r="D1594" t="s">
        <v>66</v>
      </c>
      <c r="E1594" t="s">
        <v>1270</v>
      </c>
      <c r="F1594" s="13">
        <v>3</v>
      </c>
      <c r="G1594" s="14">
        <v>5240.41</v>
      </c>
      <c r="H1594" s="13">
        <v>208</v>
      </c>
      <c r="I1594" t="s">
        <v>77</v>
      </c>
    </row>
    <row r="1595" spans="1:9" x14ac:dyDescent="0.3">
      <c r="A1595">
        <v>1804</v>
      </c>
      <c r="B1595" t="s">
        <v>1271</v>
      </c>
      <c r="C1595" t="s">
        <v>90</v>
      </c>
      <c r="D1595" t="s">
        <v>66</v>
      </c>
      <c r="E1595" t="s">
        <v>1270</v>
      </c>
      <c r="F1595" s="13">
        <v>3</v>
      </c>
      <c r="G1595" s="14">
        <v>1807.81</v>
      </c>
      <c r="H1595" s="13">
        <v>208</v>
      </c>
      <c r="I1595" t="s">
        <v>77</v>
      </c>
    </row>
    <row r="1596" spans="1:9" x14ac:dyDescent="0.3">
      <c r="A1596">
        <v>2032</v>
      </c>
      <c r="B1596" t="s">
        <v>460</v>
      </c>
      <c r="C1596" t="s">
        <v>123</v>
      </c>
      <c r="D1596" t="s">
        <v>65</v>
      </c>
      <c r="E1596" t="s">
        <v>1270</v>
      </c>
      <c r="F1596" s="13">
        <v>3</v>
      </c>
      <c r="G1596" s="14">
        <v>5240.6099999999997</v>
      </c>
      <c r="H1596" s="13">
        <v>208</v>
      </c>
      <c r="I1596" t="s">
        <v>77</v>
      </c>
    </row>
    <row r="1597" spans="1:9" x14ac:dyDescent="0.3">
      <c r="A1597">
        <v>2334</v>
      </c>
      <c r="B1597" t="s">
        <v>487</v>
      </c>
      <c r="C1597" t="s">
        <v>133</v>
      </c>
      <c r="D1597" t="s">
        <v>64</v>
      </c>
      <c r="E1597" t="s">
        <v>1270</v>
      </c>
      <c r="F1597" s="13">
        <v>1</v>
      </c>
      <c r="G1597" s="14">
        <v>662.65</v>
      </c>
      <c r="H1597" s="13">
        <v>208</v>
      </c>
      <c r="I1597" t="s">
        <v>77</v>
      </c>
    </row>
    <row r="1598" spans="1:9" x14ac:dyDescent="0.3">
      <c r="A1598">
        <v>2909</v>
      </c>
      <c r="B1598" t="s">
        <v>1272</v>
      </c>
      <c r="C1598" t="s">
        <v>92</v>
      </c>
      <c r="D1598" t="s">
        <v>64</v>
      </c>
      <c r="E1598" t="s">
        <v>1270</v>
      </c>
      <c r="F1598" s="13">
        <v>1</v>
      </c>
      <c r="G1598" s="14">
        <v>91.48</v>
      </c>
      <c r="H1598" s="13">
        <v>208</v>
      </c>
      <c r="I1598" t="s">
        <v>77</v>
      </c>
    </row>
    <row r="1599" spans="1:9" x14ac:dyDescent="0.3">
      <c r="A1599">
        <v>3035</v>
      </c>
      <c r="B1599" t="s">
        <v>1273</v>
      </c>
      <c r="C1599" t="s">
        <v>97</v>
      </c>
      <c r="D1599" t="s">
        <v>65</v>
      </c>
      <c r="E1599" t="s">
        <v>1270</v>
      </c>
      <c r="F1599" s="13">
        <v>4</v>
      </c>
      <c r="G1599" s="14">
        <v>16610.39</v>
      </c>
      <c r="H1599" s="13">
        <v>208</v>
      </c>
      <c r="I1599" t="s">
        <v>77</v>
      </c>
    </row>
    <row r="1600" spans="1:9" x14ac:dyDescent="0.3">
      <c r="A1600">
        <v>3654</v>
      </c>
      <c r="B1600" t="s">
        <v>1274</v>
      </c>
      <c r="C1600" t="s">
        <v>114</v>
      </c>
      <c r="D1600" t="s">
        <v>66</v>
      </c>
      <c r="E1600" t="s">
        <v>1270</v>
      </c>
      <c r="F1600" s="13">
        <v>3</v>
      </c>
      <c r="G1600" s="14">
        <v>5198.63</v>
      </c>
      <c r="H1600" s="13">
        <v>208</v>
      </c>
      <c r="I1600" t="s">
        <v>77</v>
      </c>
    </row>
    <row r="1601" spans="1:9" x14ac:dyDescent="0.3">
      <c r="A1601">
        <v>3726</v>
      </c>
      <c r="B1601" t="s">
        <v>1041</v>
      </c>
      <c r="C1601" t="s">
        <v>100</v>
      </c>
      <c r="D1601" t="s">
        <v>66</v>
      </c>
      <c r="E1601" t="s">
        <v>1270</v>
      </c>
      <c r="F1601" s="13">
        <v>3</v>
      </c>
      <c r="G1601" s="14">
        <v>5974.64</v>
      </c>
      <c r="H1601" s="13">
        <v>208</v>
      </c>
      <c r="I1601" t="s">
        <v>77</v>
      </c>
    </row>
    <row r="1602" spans="1:9" x14ac:dyDescent="0.3">
      <c r="A1602">
        <v>4548</v>
      </c>
      <c r="B1602" t="s">
        <v>638</v>
      </c>
      <c r="C1602" t="s">
        <v>114</v>
      </c>
      <c r="D1602" t="s">
        <v>66</v>
      </c>
      <c r="E1602" t="s">
        <v>1270</v>
      </c>
      <c r="F1602" s="13">
        <v>3</v>
      </c>
      <c r="G1602" s="14">
        <v>7439.59</v>
      </c>
      <c r="H1602" s="13">
        <v>208</v>
      </c>
      <c r="I1602" t="s">
        <v>77</v>
      </c>
    </row>
    <row r="1603" spans="1:9" x14ac:dyDescent="0.3">
      <c r="A1603">
        <v>5409</v>
      </c>
      <c r="B1603" t="s">
        <v>1275</v>
      </c>
      <c r="C1603" t="s">
        <v>92</v>
      </c>
      <c r="D1603" t="s">
        <v>64</v>
      </c>
      <c r="E1603" t="s">
        <v>1270</v>
      </c>
      <c r="F1603" s="13">
        <v>2</v>
      </c>
      <c r="G1603" s="14">
        <v>7139.76</v>
      </c>
      <c r="H1603" s="13">
        <v>208</v>
      </c>
      <c r="I1603" t="s">
        <v>77</v>
      </c>
    </row>
    <row r="1604" spans="1:9" x14ac:dyDescent="0.3">
      <c r="A1604">
        <v>5511</v>
      </c>
      <c r="B1604" t="s">
        <v>169</v>
      </c>
      <c r="C1604" t="s">
        <v>92</v>
      </c>
      <c r="D1604" t="s">
        <v>64</v>
      </c>
      <c r="E1604" t="s">
        <v>1270</v>
      </c>
      <c r="F1604" s="13">
        <v>4</v>
      </c>
      <c r="G1604" s="14">
        <v>10331.14</v>
      </c>
      <c r="H1604" s="13">
        <v>208</v>
      </c>
      <c r="I1604" t="s">
        <v>77</v>
      </c>
    </row>
    <row r="1605" spans="1:9" x14ac:dyDescent="0.3">
      <c r="A1605">
        <v>6005</v>
      </c>
      <c r="B1605" t="s">
        <v>1276</v>
      </c>
      <c r="C1605" t="s">
        <v>92</v>
      </c>
      <c r="D1605" t="s">
        <v>64</v>
      </c>
      <c r="E1605" t="s">
        <v>1270</v>
      </c>
      <c r="F1605" s="13">
        <v>2</v>
      </c>
      <c r="G1605" s="14">
        <v>6700.13</v>
      </c>
      <c r="H1605" s="13">
        <v>208</v>
      </c>
      <c r="I1605" t="s">
        <v>77</v>
      </c>
    </row>
    <row r="1606" spans="1:9" x14ac:dyDescent="0.3">
      <c r="A1606">
        <v>6040</v>
      </c>
      <c r="B1606" t="s">
        <v>199</v>
      </c>
      <c r="C1606" t="s">
        <v>95</v>
      </c>
      <c r="D1606" t="s">
        <v>65</v>
      </c>
      <c r="E1606" t="s">
        <v>1270</v>
      </c>
      <c r="F1606" s="13">
        <v>2</v>
      </c>
      <c r="G1606" s="14">
        <v>9616.73</v>
      </c>
      <c r="H1606" s="13">
        <v>208</v>
      </c>
      <c r="I1606" t="s">
        <v>77</v>
      </c>
    </row>
    <row r="1607" spans="1:9" x14ac:dyDescent="0.3">
      <c r="A1607">
        <v>7613</v>
      </c>
      <c r="B1607" t="s">
        <v>1277</v>
      </c>
      <c r="C1607" t="s">
        <v>92</v>
      </c>
      <c r="D1607" t="s">
        <v>64</v>
      </c>
      <c r="E1607" t="s">
        <v>1270</v>
      </c>
      <c r="F1607" s="13">
        <v>2</v>
      </c>
      <c r="G1607" s="14">
        <v>3479.77</v>
      </c>
      <c r="H1607" s="13">
        <v>208</v>
      </c>
      <c r="I1607" t="s">
        <v>77</v>
      </c>
    </row>
    <row r="1608" spans="1:9" x14ac:dyDescent="0.3">
      <c r="A1608">
        <v>2132</v>
      </c>
      <c r="B1608" t="s">
        <v>636</v>
      </c>
      <c r="C1608" t="s">
        <v>87</v>
      </c>
      <c r="D1608" t="s">
        <v>64</v>
      </c>
      <c r="E1608" t="s">
        <v>1278</v>
      </c>
      <c r="F1608" s="13">
        <v>2</v>
      </c>
      <c r="G1608" s="14">
        <v>4736.2299999999996</v>
      </c>
      <c r="H1608" s="13">
        <v>207</v>
      </c>
      <c r="I1608" t="s">
        <v>77</v>
      </c>
    </row>
    <row r="1609" spans="1:9" x14ac:dyDescent="0.3">
      <c r="A1609">
        <v>2167</v>
      </c>
      <c r="B1609" t="s">
        <v>1279</v>
      </c>
      <c r="C1609" t="s">
        <v>92</v>
      </c>
      <c r="D1609" t="s">
        <v>64</v>
      </c>
      <c r="E1609" t="s">
        <v>1278</v>
      </c>
      <c r="F1609" s="13">
        <v>2</v>
      </c>
      <c r="G1609" s="14">
        <v>850.43</v>
      </c>
      <c r="H1609" s="13">
        <v>207</v>
      </c>
      <c r="I1609" t="s">
        <v>77</v>
      </c>
    </row>
    <row r="1610" spans="1:9" x14ac:dyDescent="0.3">
      <c r="A1610">
        <v>5167</v>
      </c>
      <c r="B1610" t="s">
        <v>1280</v>
      </c>
      <c r="C1610" t="s">
        <v>103</v>
      </c>
      <c r="D1610" t="s">
        <v>67</v>
      </c>
      <c r="E1610" t="s">
        <v>1278</v>
      </c>
      <c r="F1610" s="13">
        <v>3</v>
      </c>
      <c r="G1610" s="14">
        <v>4475.12</v>
      </c>
      <c r="H1610" s="13">
        <v>207</v>
      </c>
      <c r="I1610" t="s">
        <v>77</v>
      </c>
    </row>
    <row r="1611" spans="1:9" x14ac:dyDescent="0.3">
      <c r="A1611">
        <v>5338</v>
      </c>
      <c r="B1611" t="s">
        <v>460</v>
      </c>
      <c r="C1611" t="s">
        <v>90</v>
      </c>
      <c r="D1611" t="s">
        <v>66</v>
      </c>
      <c r="E1611" t="s">
        <v>1278</v>
      </c>
      <c r="F1611" s="13">
        <v>3</v>
      </c>
      <c r="G1611" s="14">
        <v>5789.6</v>
      </c>
      <c r="H1611" s="13">
        <v>207</v>
      </c>
      <c r="I1611" t="s">
        <v>77</v>
      </c>
    </row>
    <row r="1612" spans="1:9" x14ac:dyDescent="0.3">
      <c r="A1612">
        <v>6821</v>
      </c>
      <c r="B1612" t="s">
        <v>1281</v>
      </c>
      <c r="C1612" t="s">
        <v>90</v>
      </c>
      <c r="D1612" t="s">
        <v>66</v>
      </c>
      <c r="E1612" t="s">
        <v>1278</v>
      </c>
      <c r="F1612" s="13">
        <v>3</v>
      </c>
      <c r="G1612" s="14">
        <v>4991.08</v>
      </c>
      <c r="H1612" s="13">
        <v>207</v>
      </c>
      <c r="I1612" t="s">
        <v>77</v>
      </c>
    </row>
    <row r="1613" spans="1:9" x14ac:dyDescent="0.3">
      <c r="A1613">
        <v>6839</v>
      </c>
      <c r="B1613" t="s">
        <v>178</v>
      </c>
      <c r="C1613" t="s">
        <v>133</v>
      </c>
      <c r="D1613" t="s">
        <v>64</v>
      </c>
      <c r="E1613" t="s">
        <v>1278</v>
      </c>
      <c r="F1613" s="13">
        <v>2</v>
      </c>
      <c r="G1613" s="14">
        <v>1113.48</v>
      </c>
      <c r="H1613" s="13">
        <v>207</v>
      </c>
      <c r="I1613" t="s">
        <v>77</v>
      </c>
    </row>
    <row r="1614" spans="1:9" x14ac:dyDescent="0.3">
      <c r="A1614">
        <v>7034</v>
      </c>
      <c r="B1614" t="s">
        <v>1282</v>
      </c>
      <c r="C1614" t="s">
        <v>123</v>
      </c>
      <c r="D1614" t="s">
        <v>65</v>
      </c>
      <c r="E1614" t="s">
        <v>1278</v>
      </c>
      <c r="F1614" s="13">
        <v>1</v>
      </c>
      <c r="G1614" s="14">
        <v>436.35</v>
      </c>
      <c r="H1614" s="13">
        <v>207</v>
      </c>
      <c r="I1614" t="s">
        <v>77</v>
      </c>
    </row>
    <row r="1615" spans="1:9" x14ac:dyDescent="0.3">
      <c r="A1615">
        <v>8875</v>
      </c>
      <c r="B1615" t="s">
        <v>1283</v>
      </c>
      <c r="C1615" t="s">
        <v>100</v>
      </c>
      <c r="D1615" t="s">
        <v>66</v>
      </c>
      <c r="E1615" t="s">
        <v>1278</v>
      </c>
      <c r="F1615" s="13">
        <v>2</v>
      </c>
      <c r="G1615" s="14">
        <v>12377.11</v>
      </c>
      <c r="H1615" s="13">
        <v>207</v>
      </c>
      <c r="I1615" t="s">
        <v>77</v>
      </c>
    </row>
    <row r="1616" spans="1:9" x14ac:dyDescent="0.3">
      <c r="A1616">
        <v>200</v>
      </c>
      <c r="B1616" t="s">
        <v>982</v>
      </c>
      <c r="C1616" t="s">
        <v>137</v>
      </c>
      <c r="D1616" t="s">
        <v>64</v>
      </c>
      <c r="E1616" t="s">
        <v>1284</v>
      </c>
      <c r="F1616" s="13">
        <v>1</v>
      </c>
      <c r="G1616" s="14">
        <v>235.78</v>
      </c>
      <c r="H1616" s="13">
        <v>206</v>
      </c>
      <c r="I1616" t="s">
        <v>77</v>
      </c>
    </row>
    <row r="1617" spans="1:9" x14ac:dyDescent="0.3">
      <c r="A1617">
        <v>2362</v>
      </c>
      <c r="B1617" t="s">
        <v>135</v>
      </c>
      <c r="C1617" t="s">
        <v>90</v>
      </c>
      <c r="D1617" t="s">
        <v>66</v>
      </c>
      <c r="E1617" t="s">
        <v>1284</v>
      </c>
      <c r="F1617" s="13">
        <v>2</v>
      </c>
      <c r="G1617" s="14">
        <v>2317.71</v>
      </c>
      <c r="H1617" s="13">
        <v>206</v>
      </c>
      <c r="I1617" t="s">
        <v>77</v>
      </c>
    </row>
    <row r="1618" spans="1:9" x14ac:dyDescent="0.3">
      <c r="A1618">
        <v>2483</v>
      </c>
      <c r="B1618" t="s">
        <v>509</v>
      </c>
      <c r="C1618" t="s">
        <v>92</v>
      </c>
      <c r="D1618" t="s">
        <v>64</v>
      </c>
      <c r="E1618" t="s">
        <v>1284</v>
      </c>
      <c r="F1618" s="13">
        <v>2</v>
      </c>
      <c r="G1618" s="14">
        <v>4727.21</v>
      </c>
      <c r="H1618" s="13">
        <v>206</v>
      </c>
      <c r="I1618" t="s">
        <v>77</v>
      </c>
    </row>
    <row r="1619" spans="1:9" x14ac:dyDescent="0.3">
      <c r="A1619">
        <v>2565</v>
      </c>
      <c r="B1619" t="s">
        <v>1285</v>
      </c>
      <c r="C1619" t="s">
        <v>95</v>
      </c>
      <c r="D1619" t="s">
        <v>65</v>
      </c>
      <c r="E1619" t="s">
        <v>1284</v>
      </c>
      <c r="F1619" s="13">
        <v>4</v>
      </c>
      <c r="G1619" s="14">
        <v>2401.88</v>
      </c>
      <c r="H1619" s="13">
        <v>206</v>
      </c>
      <c r="I1619" t="s">
        <v>77</v>
      </c>
    </row>
    <row r="1620" spans="1:9" x14ac:dyDescent="0.3">
      <c r="A1620">
        <v>2838</v>
      </c>
      <c r="B1620" t="s">
        <v>311</v>
      </c>
      <c r="C1620" t="s">
        <v>97</v>
      </c>
      <c r="D1620" t="s">
        <v>65</v>
      </c>
      <c r="E1620" t="s">
        <v>1284</v>
      </c>
      <c r="F1620" s="13">
        <v>1</v>
      </c>
      <c r="G1620" s="14">
        <v>1609.62</v>
      </c>
      <c r="H1620" s="13">
        <v>206</v>
      </c>
      <c r="I1620" t="s">
        <v>77</v>
      </c>
    </row>
    <row r="1621" spans="1:9" x14ac:dyDescent="0.3">
      <c r="A1621">
        <v>3327</v>
      </c>
      <c r="B1621" t="s">
        <v>99</v>
      </c>
      <c r="C1621" t="s">
        <v>137</v>
      </c>
      <c r="D1621" t="s">
        <v>64</v>
      </c>
      <c r="E1621" t="s">
        <v>1284</v>
      </c>
      <c r="F1621" s="13">
        <v>1</v>
      </c>
      <c r="G1621" s="14">
        <v>3980.71</v>
      </c>
      <c r="H1621" s="13">
        <v>206</v>
      </c>
      <c r="I1621" t="s">
        <v>77</v>
      </c>
    </row>
    <row r="1622" spans="1:9" x14ac:dyDescent="0.3">
      <c r="A1622">
        <v>4454</v>
      </c>
      <c r="B1622" t="s">
        <v>589</v>
      </c>
      <c r="C1622" t="s">
        <v>92</v>
      </c>
      <c r="D1622" t="s">
        <v>64</v>
      </c>
      <c r="E1622" t="s">
        <v>1284</v>
      </c>
      <c r="F1622" s="13">
        <v>1</v>
      </c>
      <c r="G1622" s="14">
        <v>1193.19</v>
      </c>
      <c r="H1622" s="13">
        <v>206</v>
      </c>
      <c r="I1622" t="s">
        <v>77</v>
      </c>
    </row>
    <row r="1623" spans="1:9" x14ac:dyDescent="0.3">
      <c r="A1623">
        <v>6861</v>
      </c>
      <c r="B1623" t="s">
        <v>543</v>
      </c>
      <c r="C1623" t="s">
        <v>92</v>
      </c>
      <c r="D1623" t="s">
        <v>64</v>
      </c>
      <c r="E1623" t="s">
        <v>1284</v>
      </c>
      <c r="F1623" s="13">
        <v>1</v>
      </c>
      <c r="G1623" s="14">
        <v>121.62</v>
      </c>
      <c r="H1623" s="13">
        <v>206</v>
      </c>
      <c r="I1623" t="s">
        <v>77</v>
      </c>
    </row>
    <row r="1624" spans="1:9" x14ac:dyDescent="0.3">
      <c r="A1624">
        <v>8586</v>
      </c>
      <c r="B1624" t="s">
        <v>1286</v>
      </c>
      <c r="C1624" t="s">
        <v>133</v>
      </c>
      <c r="D1624" t="s">
        <v>64</v>
      </c>
      <c r="E1624" t="s">
        <v>1284</v>
      </c>
      <c r="F1624" s="13">
        <v>3</v>
      </c>
      <c r="G1624" s="14">
        <v>10377.23</v>
      </c>
      <c r="H1624" s="13">
        <v>206</v>
      </c>
      <c r="I1624" t="s">
        <v>77</v>
      </c>
    </row>
    <row r="1625" spans="1:9" x14ac:dyDescent="0.3">
      <c r="A1625">
        <v>883</v>
      </c>
      <c r="B1625" t="s">
        <v>274</v>
      </c>
      <c r="C1625" t="s">
        <v>95</v>
      </c>
      <c r="D1625" t="s">
        <v>65</v>
      </c>
      <c r="E1625" t="s">
        <v>1287</v>
      </c>
      <c r="F1625" s="13">
        <v>3</v>
      </c>
      <c r="G1625" s="14">
        <v>5251.99</v>
      </c>
      <c r="H1625" s="13">
        <v>205</v>
      </c>
      <c r="I1625" t="s">
        <v>77</v>
      </c>
    </row>
    <row r="1626" spans="1:9" x14ac:dyDescent="0.3">
      <c r="A1626">
        <v>993</v>
      </c>
      <c r="B1626" t="s">
        <v>176</v>
      </c>
      <c r="C1626" t="s">
        <v>123</v>
      </c>
      <c r="D1626" t="s">
        <v>65</v>
      </c>
      <c r="E1626" t="s">
        <v>1287</v>
      </c>
      <c r="F1626" s="13">
        <v>2</v>
      </c>
      <c r="G1626" s="14">
        <v>3336.15</v>
      </c>
      <c r="H1626" s="13">
        <v>205</v>
      </c>
      <c r="I1626" t="s">
        <v>77</v>
      </c>
    </row>
    <row r="1627" spans="1:9" x14ac:dyDescent="0.3">
      <c r="A1627">
        <v>2315</v>
      </c>
      <c r="B1627" t="s">
        <v>333</v>
      </c>
      <c r="C1627" t="s">
        <v>97</v>
      </c>
      <c r="D1627" t="s">
        <v>65</v>
      </c>
      <c r="E1627" t="s">
        <v>1287</v>
      </c>
      <c r="F1627" s="13">
        <v>3</v>
      </c>
      <c r="G1627" s="14">
        <v>7108.77</v>
      </c>
      <c r="H1627" s="13">
        <v>205</v>
      </c>
      <c r="I1627" t="s">
        <v>77</v>
      </c>
    </row>
    <row r="1628" spans="1:9" x14ac:dyDescent="0.3">
      <c r="A1628">
        <v>2323</v>
      </c>
      <c r="B1628" t="s">
        <v>438</v>
      </c>
      <c r="C1628" t="s">
        <v>133</v>
      </c>
      <c r="D1628" t="s">
        <v>64</v>
      </c>
      <c r="E1628" t="s">
        <v>1287</v>
      </c>
      <c r="F1628" s="13">
        <v>3</v>
      </c>
      <c r="G1628" s="14">
        <v>1312.38</v>
      </c>
      <c r="H1628" s="13">
        <v>205</v>
      </c>
      <c r="I1628" t="s">
        <v>77</v>
      </c>
    </row>
    <row r="1629" spans="1:9" x14ac:dyDescent="0.3">
      <c r="A1629">
        <v>3062</v>
      </c>
      <c r="B1629" t="s">
        <v>760</v>
      </c>
      <c r="C1629" t="s">
        <v>92</v>
      </c>
      <c r="D1629" t="s">
        <v>64</v>
      </c>
      <c r="E1629" t="s">
        <v>1287</v>
      </c>
      <c r="F1629" s="13">
        <v>1</v>
      </c>
      <c r="G1629" s="14">
        <v>4354.95</v>
      </c>
      <c r="H1629" s="13">
        <v>205</v>
      </c>
      <c r="I1629" t="s">
        <v>77</v>
      </c>
    </row>
    <row r="1630" spans="1:9" x14ac:dyDescent="0.3">
      <c r="A1630">
        <v>3086</v>
      </c>
      <c r="B1630" t="s">
        <v>257</v>
      </c>
      <c r="C1630" t="s">
        <v>133</v>
      </c>
      <c r="D1630" t="s">
        <v>64</v>
      </c>
      <c r="E1630" t="s">
        <v>1287</v>
      </c>
      <c r="F1630" s="13">
        <v>1</v>
      </c>
      <c r="G1630" s="14">
        <v>411.06</v>
      </c>
      <c r="H1630" s="13">
        <v>205</v>
      </c>
      <c r="I1630" t="s">
        <v>77</v>
      </c>
    </row>
    <row r="1631" spans="1:9" x14ac:dyDescent="0.3">
      <c r="A1631">
        <v>4361</v>
      </c>
      <c r="B1631" t="s">
        <v>366</v>
      </c>
      <c r="C1631" t="s">
        <v>92</v>
      </c>
      <c r="D1631" t="s">
        <v>64</v>
      </c>
      <c r="E1631" t="s">
        <v>1287</v>
      </c>
      <c r="F1631" s="13">
        <v>1</v>
      </c>
      <c r="G1631" s="14">
        <v>647.70000000000005</v>
      </c>
      <c r="H1631" s="13">
        <v>205</v>
      </c>
      <c r="I1631" t="s">
        <v>77</v>
      </c>
    </row>
    <row r="1632" spans="1:9" x14ac:dyDescent="0.3">
      <c r="A1632">
        <v>4852</v>
      </c>
      <c r="B1632" t="s">
        <v>240</v>
      </c>
      <c r="C1632" t="s">
        <v>92</v>
      </c>
      <c r="D1632" t="s">
        <v>64</v>
      </c>
      <c r="E1632" t="s">
        <v>1287</v>
      </c>
      <c r="F1632" s="13">
        <v>2</v>
      </c>
      <c r="G1632" s="14">
        <v>5460.76</v>
      </c>
      <c r="H1632" s="13">
        <v>205</v>
      </c>
      <c r="I1632" t="s">
        <v>77</v>
      </c>
    </row>
    <row r="1633" spans="1:9" x14ac:dyDescent="0.3">
      <c r="A1633">
        <v>6766</v>
      </c>
      <c r="B1633" t="s">
        <v>264</v>
      </c>
      <c r="C1633" t="s">
        <v>156</v>
      </c>
      <c r="D1633" t="s">
        <v>68</v>
      </c>
      <c r="E1633" t="s">
        <v>1287</v>
      </c>
      <c r="F1633" s="13">
        <v>1</v>
      </c>
      <c r="G1633" s="14">
        <v>234.93</v>
      </c>
      <c r="H1633" s="13">
        <v>205</v>
      </c>
      <c r="I1633" t="s">
        <v>77</v>
      </c>
    </row>
    <row r="1634" spans="1:9" x14ac:dyDescent="0.3">
      <c r="A1634">
        <v>7886</v>
      </c>
      <c r="B1634" t="s">
        <v>252</v>
      </c>
      <c r="C1634" t="s">
        <v>92</v>
      </c>
      <c r="D1634" t="s">
        <v>64</v>
      </c>
      <c r="E1634" t="s">
        <v>1287</v>
      </c>
      <c r="F1634" s="13">
        <v>1</v>
      </c>
      <c r="G1634" s="14">
        <v>1971.55</v>
      </c>
      <c r="H1634" s="13">
        <v>205</v>
      </c>
      <c r="I1634" t="s">
        <v>77</v>
      </c>
    </row>
    <row r="1635" spans="1:9" x14ac:dyDescent="0.3">
      <c r="A1635">
        <v>8003</v>
      </c>
      <c r="B1635" t="s">
        <v>1288</v>
      </c>
      <c r="C1635" t="s">
        <v>137</v>
      </c>
      <c r="D1635" t="s">
        <v>64</v>
      </c>
      <c r="E1635" t="s">
        <v>1287</v>
      </c>
      <c r="F1635" s="13">
        <v>1</v>
      </c>
      <c r="G1635" s="14">
        <v>7736.07</v>
      </c>
      <c r="H1635" s="13">
        <v>205</v>
      </c>
      <c r="I1635" t="s">
        <v>77</v>
      </c>
    </row>
    <row r="1636" spans="1:9" x14ac:dyDescent="0.3">
      <c r="A1636">
        <v>8682</v>
      </c>
      <c r="B1636" t="s">
        <v>505</v>
      </c>
      <c r="C1636" t="s">
        <v>133</v>
      </c>
      <c r="D1636" t="s">
        <v>64</v>
      </c>
      <c r="E1636" t="s">
        <v>1287</v>
      </c>
      <c r="F1636" s="13">
        <v>3</v>
      </c>
      <c r="G1636" s="14">
        <v>5200.18</v>
      </c>
      <c r="H1636" s="13">
        <v>205</v>
      </c>
      <c r="I1636" t="s">
        <v>77</v>
      </c>
    </row>
    <row r="1637" spans="1:9" x14ac:dyDescent="0.3">
      <c r="A1637">
        <v>8998</v>
      </c>
      <c r="B1637" t="s">
        <v>645</v>
      </c>
      <c r="C1637" t="s">
        <v>92</v>
      </c>
      <c r="D1637" t="s">
        <v>64</v>
      </c>
      <c r="E1637" t="s">
        <v>1287</v>
      </c>
      <c r="F1637" s="13">
        <v>6</v>
      </c>
      <c r="G1637" s="14">
        <v>14592.9</v>
      </c>
      <c r="H1637" s="13">
        <v>205</v>
      </c>
      <c r="I1637" t="s">
        <v>77</v>
      </c>
    </row>
    <row r="1638" spans="1:9" x14ac:dyDescent="0.3">
      <c r="A1638">
        <v>491</v>
      </c>
      <c r="B1638" t="s">
        <v>364</v>
      </c>
      <c r="C1638" t="s">
        <v>100</v>
      </c>
      <c r="D1638" t="s">
        <v>66</v>
      </c>
      <c r="E1638" t="s">
        <v>1289</v>
      </c>
      <c r="F1638" s="13">
        <v>3</v>
      </c>
      <c r="G1638" s="14">
        <v>2152.16</v>
      </c>
      <c r="H1638" s="13">
        <v>204</v>
      </c>
      <c r="I1638" t="s">
        <v>77</v>
      </c>
    </row>
    <row r="1639" spans="1:9" x14ac:dyDescent="0.3">
      <c r="A1639">
        <v>2297</v>
      </c>
      <c r="B1639" t="s">
        <v>323</v>
      </c>
      <c r="C1639" t="s">
        <v>95</v>
      </c>
      <c r="D1639" t="s">
        <v>65</v>
      </c>
      <c r="E1639" t="s">
        <v>1289</v>
      </c>
      <c r="F1639" s="13">
        <v>1</v>
      </c>
      <c r="G1639" s="14">
        <v>2882.32</v>
      </c>
      <c r="H1639" s="13">
        <v>204</v>
      </c>
      <c r="I1639" t="s">
        <v>77</v>
      </c>
    </row>
    <row r="1640" spans="1:9" x14ac:dyDescent="0.3">
      <c r="A1640">
        <v>6349</v>
      </c>
      <c r="B1640" t="s">
        <v>1290</v>
      </c>
      <c r="C1640" t="s">
        <v>137</v>
      </c>
      <c r="D1640" t="s">
        <v>64</v>
      </c>
      <c r="E1640" t="s">
        <v>1289</v>
      </c>
      <c r="F1640" s="13">
        <v>2</v>
      </c>
      <c r="G1640" s="14">
        <v>3701.02</v>
      </c>
      <c r="H1640" s="13">
        <v>204</v>
      </c>
      <c r="I1640" t="s">
        <v>77</v>
      </c>
    </row>
    <row r="1641" spans="1:9" x14ac:dyDescent="0.3">
      <c r="A1641">
        <v>7125</v>
      </c>
      <c r="B1641" t="s">
        <v>313</v>
      </c>
      <c r="C1641" t="s">
        <v>100</v>
      </c>
      <c r="D1641" t="s">
        <v>66</v>
      </c>
      <c r="E1641" t="s">
        <v>1289</v>
      </c>
      <c r="F1641" s="13">
        <v>1</v>
      </c>
      <c r="G1641" s="14">
        <v>446.24</v>
      </c>
      <c r="H1641" s="13">
        <v>204</v>
      </c>
      <c r="I1641" t="s">
        <v>77</v>
      </c>
    </row>
    <row r="1642" spans="1:9" x14ac:dyDescent="0.3">
      <c r="A1642">
        <v>661</v>
      </c>
      <c r="B1642" t="s">
        <v>277</v>
      </c>
      <c r="C1642" t="s">
        <v>90</v>
      </c>
      <c r="D1642" t="s">
        <v>66</v>
      </c>
      <c r="E1642" t="s">
        <v>1291</v>
      </c>
      <c r="F1642" s="13">
        <v>3</v>
      </c>
      <c r="G1642" s="14">
        <v>5025.07</v>
      </c>
      <c r="H1642" s="13">
        <v>203</v>
      </c>
      <c r="I1642" t="s">
        <v>77</v>
      </c>
    </row>
    <row r="1643" spans="1:9" x14ac:dyDescent="0.3">
      <c r="A1643">
        <v>957</v>
      </c>
      <c r="B1643" t="s">
        <v>1292</v>
      </c>
      <c r="C1643" t="s">
        <v>92</v>
      </c>
      <c r="D1643" t="s">
        <v>64</v>
      </c>
      <c r="E1643" t="s">
        <v>1291</v>
      </c>
      <c r="F1643" s="13">
        <v>2</v>
      </c>
      <c r="G1643" s="14">
        <v>7008.58</v>
      </c>
      <c r="H1643" s="13">
        <v>203</v>
      </c>
      <c r="I1643" t="s">
        <v>77</v>
      </c>
    </row>
    <row r="1644" spans="1:9" x14ac:dyDescent="0.3">
      <c r="A1644">
        <v>1516</v>
      </c>
      <c r="B1644" t="s">
        <v>149</v>
      </c>
      <c r="C1644" t="s">
        <v>87</v>
      </c>
      <c r="D1644" t="s">
        <v>64</v>
      </c>
      <c r="E1644" t="s">
        <v>1291</v>
      </c>
      <c r="F1644" s="13">
        <v>4</v>
      </c>
      <c r="G1644" s="14">
        <v>5005.0200000000004</v>
      </c>
      <c r="H1644" s="13">
        <v>203</v>
      </c>
      <c r="I1644" t="s">
        <v>77</v>
      </c>
    </row>
    <row r="1645" spans="1:9" x14ac:dyDescent="0.3">
      <c r="A1645">
        <v>2144</v>
      </c>
      <c r="B1645" t="s">
        <v>178</v>
      </c>
      <c r="C1645" t="s">
        <v>103</v>
      </c>
      <c r="D1645" t="s">
        <v>67</v>
      </c>
      <c r="E1645" t="s">
        <v>1291</v>
      </c>
      <c r="F1645" s="13">
        <v>9</v>
      </c>
      <c r="G1645" s="14">
        <v>24595.56</v>
      </c>
      <c r="H1645" s="13">
        <v>203</v>
      </c>
      <c r="I1645" t="s">
        <v>77</v>
      </c>
    </row>
    <row r="1646" spans="1:9" x14ac:dyDescent="0.3">
      <c r="A1646">
        <v>2915</v>
      </c>
      <c r="B1646" t="s">
        <v>1025</v>
      </c>
      <c r="C1646" t="s">
        <v>103</v>
      </c>
      <c r="D1646" t="s">
        <v>67</v>
      </c>
      <c r="E1646" t="s">
        <v>1291</v>
      </c>
      <c r="F1646" s="13">
        <v>1</v>
      </c>
      <c r="G1646" s="14">
        <v>896.65</v>
      </c>
      <c r="H1646" s="13">
        <v>203</v>
      </c>
      <c r="I1646" t="s">
        <v>77</v>
      </c>
    </row>
    <row r="1647" spans="1:9" x14ac:dyDescent="0.3">
      <c r="A1647">
        <v>3519</v>
      </c>
      <c r="B1647" t="s">
        <v>1293</v>
      </c>
      <c r="C1647" t="s">
        <v>90</v>
      </c>
      <c r="D1647" t="s">
        <v>66</v>
      </c>
      <c r="E1647" t="s">
        <v>1291</v>
      </c>
      <c r="F1647" s="13">
        <v>1</v>
      </c>
      <c r="G1647" s="14">
        <v>151.85</v>
      </c>
      <c r="H1647" s="13">
        <v>203</v>
      </c>
      <c r="I1647" t="s">
        <v>77</v>
      </c>
    </row>
    <row r="1648" spans="1:9" x14ac:dyDescent="0.3">
      <c r="A1648">
        <v>3651</v>
      </c>
      <c r="B1648" t="s">
        <v>645</v>
      </c>
      <c r="C1648" t="s">
        <v>133</v>
      </c>
      <c r="D1648" t="s">
        <v>64</v>
      </c>
      <c r="E1648" t="s">
        <v>1291</v>
      </c>
      <c r="F1648" s="13">
        <v>2</v>
      </c>
      <c r="G1648" s="14">
        <v>3045.57</v>
      </c>
      <c r="H1648" s="13">
        <v>203</v>
      </c>
      <c r="I1648" t="s">
        <v>77</v>
      </c>
    </row>
    <row r="1649" spans="1:9" x14ac:dyDescent="0.3">
      <c r="A1649">
        <v>4166</v>
      </c>
      <c r="B1649" t="s">
        <v>388</v>
      </c>
      <c r="C1649" t="s">
        <v>92</v>
      </c>
      <c r="D1649" t="s">
        <v>64</v>
      </c>
      <c r="E1649" t="s">
        <v>1291</v>
      </c>
      <c r="F1649" s="13">
        <v>2</v>
      </c>
      <c r="G1649" s="14">
        <v>3980.42</v>
      </c>
      <c r="H1649" s="13">
        <v>203</v>
      </c>
      <c r="I1649" t="s">
        <v>77</v>
      </c>
    </row>
    <row r="1650" spans="1:9" x14ac:dyDescent="0.3">
      <c r="A1650">
        <v>4781</v>
      </c>
      <c r="B1650" t="s">
        <v>1294</v>
      </c>
      <c r="C1650" t="s">
        <v>95</v>
      </c>
      <c r="D1650" t="s">
        <v>65</v>
      </c>
      <c r="E1650" t="s">
        <v>1291</v>
      </c>
      <c r="F1650" s="13">
        <v>1</v>
      </c>
      <c r="G1650" s="14">
        <v>2411.34</v>
      </c>
      <c r="H1650" s="13">
        <v>203</v>
      </c>
      <c r="I1650" t="s">
        <v>77</v>
      </c>
    </row>
    <row r="1651" spans="1:9" x14ac:dyDescent="0.3">
      <c r="A1651">
        <v>6169</v>
      </c>
      <c r="B1651" t="s">
        <v>404</v>
      </c>
      <c r="C1651" t="s">
        <v>249</v>
      </c>
      <c r="D1651" t="s">
        <v>67</v>
      </c>
      <c r="E1651" t="s">
        <v>1291</v>
      </c>
      <c r="F1651" s="13">
        <v>1</v>
      </c>
      <c r="G1651" s="14">
        <v>2847.4</v>
      </c>
      <c r="H1651" s="13">
        <v>203</v>
      </c>
      <c r="I1651" t="s">
        <v>77</v>
      </c>
    </row>
    <row r="1652" spans="1:9" x14ac:dyDescent="0.3">
      <c r="A1652">
        <v>7746</v>
      </c>
      <c r="B1652" t="s">
        <v>1295</v>
      </c>
      <c r="C1652" t="s">
        <v>133</v>
      </c>
      <c r="D1652" t="s">
        <v>64</v>
      </c>
      <c r="E1652" t="s">
        <v>1291</v>
      </c>
      <c r="F1652" s="13">
        <v>1</v>
      </c>
      <c r="G1652" s="14">
        <v>305.61</v>
      </c>
      <c r="H1652" s="13">
        <v>203</v>
      </c>
      <c r="I1652" t="s">
        <v>77</v>
      </c>
    </row>
    <row r="1653" spans="1:9" x14ac:dyDescent="0.3">
      <c r="A1653">
        <v>8045</v>
      </c>
      <c r="B1653" t="s">
        <v>466</v>
      </c>
      <c r="C1653" t="s">
        <v>473</v>
      </c>
      <c r="D1653" t="s">
        <v>68</v>
      </c>
      <c r="E1653" t="s">
        <v>1291</v>
      </c>
      <c r="F1653" s="13">
        <v>3</v>
      </c>
      <c r="G1653" s="14">
        <v>1063.1099999999999</v>
      </c>
      <c r="H1653" s="13">
        <v>203</v>
      </c>
      <c r="I1653" t="s">
        <v>77</v>
      </c>
    </row>
    <row r="1654" spans="1:9" x14ac:dyDescent="0.3">
      <c r="A1654">
        <v>174</v>
      </c>
      <c r="B1654" t="s">
        <v>415</v>
      </c>
      <c r="C1654" t="s">
        <v>123</v>
      </c>
      <c r="D1654" t="s">
        <v>65</v>
      </c>
      <c r="E1654" t="s">
        <v>1296</v>
      </c>
      <c r="F1654" s="13">
        <v>2</v>
      </c>
      <c r="G1654" s="14">
        <v>2524.35</v>
      </c>
      <c r="H1654" s="13">
        <v>202</v>
      </c>
      <c r="I1654" t="s">
        <v>77</v>
      </c>
    </row>
    <row r="1655" spans="1:9" x14ac:dyDescent="0.3">
      <c r="A1655">
        <v>844</v>
      </c>
      <c r="B1655" t="s">
        <v>135</v>
      </c>
      <c r="C1655" t="s">
        <v>249</v>
      </c>
      <c r="D1655" t="s">
        <v>67</v>
      </c>
      <c r="E1655" t="s">
        <v>1296</v>
      </c>
      <c r="F1655" s="13">
        <v>1</v>
      </c>
      <c r="G1655" s="14">
        <v>2772.64</v>
      </c>
      <c r="H1655" s="13">
        <v>202</v>
      </c>
      <c r="I1655" t="s">
        <v>77</v>
      </c>
    </row>
    <row r="1656" spans="1:9" x14ac:dyDescent="0.3">
      <c r="A1656">
        <v>917</v>
      </c>
      <c r="B1656" t="s">
        <v>396</v>
      </c>
      <c r="C1656" t="s">
        <v>90</v>
      </c>
      <c r="D1656" t="s">
        <v>66</v>
      </c>
      <c r="E1656" t="s">
        <v>1296</v>
      </c>
      <c r="F1656" s="13">
        <v>1</v>
      </c>
      <c r="G1656" s="14">
        <v>3487.21</v>
      </c>
      <c r="H1656" s="13">
        <v>202</v>
      </c>
      <c r="I1656" t="s">
        <v>77</v>
      </c>
    </row>
    <row r="1657" spans="1:9" x14ac:dyDescent="0.3">
      <c r="A1657">
        <v>3634</v>
      </c>
      <c r="B1657" t="s">
        <v>1297</v>
      </c>
      <c r="C1657" t="s">
        <v>114</v>
      </c>
      <c r="D1657" t="s">
        <v>66</v>
      </c>
      <c r="E1657" t="s">
        <v>1296</v>
      </c>
      <c r="F1657" s="13">
        <v>1</v>
      </c>
      <c r="G1657" s="14">
        <v>2938.91</v>
      </c>
      <c r="H1657" s="13">
        <v>202</v>
      </c>
      <c r="I1657" t="s">
        <v>77</v>
      </c>
    </row>
    <row r="1658" spans="1:9" x14ac:dyDescent="0.3">
      <c r="A1658">
        <v>5686</v>
      </c>
      <c r="B1658" t="s">
        <v>606</v>
      </c>
      <c r="C1658" t="s">
        <v>92</v>
      </c>
      <c r="D1658" t="s">
        <v>64</v>
      </c>
      <c r="E1658" t="s">
        <v>1296</v>
      </c>
      <c r="F1658" s="13">
        <v>4</v>
      </c>
      <c r="G1658" s="14">
        <v>4075.79</v>
      </c>
      <c r="H1658" s="13">
        <v>202</v>
      </c>
      <c r="I1658" t="s">
        <v>77</v>
      </c>
    </row>
    <row r="1659" spans="1:9" x14ac:dyDescent="0.3">
      <c r="A1659">
        <v>6481</v>
      </c>
      <c r="B1659" t="s">
        <v>1298</v>
      </c>
      <c r="C1659" t="s">
        <v>100</v>
      </c>
      <c r="D1659" t="s">
        <v>66</v>
      </c>
      <c r="E1659" t="s">
        <v>1296</v>
      </c>
      <c r="F1659" s="13">
        <v>1</v>
      </c>
      <c r="G1659" s="14">
        <v>10599.14</v>
      </c>
      <c r="H1659" s="13">
        <v>202</v>
      </c>
      <c r="I1659" t="s">
        <v>77</v>
      </c>
    </row>
    <row r="1660" spans="1:9" x14ac:dyDescent="0.3">
      <c r="A1660">
        <v>6681</v>
      </c>
      <c r="B1660" t="s">
        <v>400</v>
      </c>
      <c r="C1660" t="s">
        <v>123</v>
      </c>
      <c r="D1660" t="s">
        <v>65</v>
      </c>
      <c r="E1660" t="s">
        <v>1296</v>
      </c>
      <c r="F1660" s="13">
        <v>3</v>
      </c>
      <c r="G1660" s="14">
        <v>1223.56</v>
      </c>
      <c r="H1660" s="13">
        <v>202</v>
      </c>
      <c r="I1660" t="s">
        <v>77</v>
      </c>
    </row>
    <row r="1661" spans="1:9" x14ac:dyDescent="0.3">
      <c r="A1661">
        <v>8170</v>
      </c>
      <c r="B1661" t="s">
        <v>466</v>
      </c>
      <c r="C1661" t="s">
        <v>473</v>
      </c>
      <c r="D1661" t="s">
        <v>68</v>
      </c>
      <c r="E1661" t="s">
        <v>1296</v>
      </c>
      <c r="F1661" s="13">
        <v>2</v>
      </c>
      <c r="G1661" s="14">
        <v>268.54000000000002</v>
      </c>
      <c r="H1661" s="13">
        <v>202</v>
      </c>
      <c r="I1661" t="s">
        <v>77</v>
      </c>
    </row>
    <row r="1662" spans="1:9" x14ac:dyDescent="0.3">
      <c r="A1662">
        <v>230</v>
      </c>
      <c r="B1662" t="s">
        <v>1299</v>
      </c>
      <c r="C1662" t="s">
        <v>97</v>
      </c>
      <c r="D1662" t="s">
        <v>65</v>
      </c>
      <c r="E1662" t="s">
        <v>1300</v>
      </c>
      <c r="F1662" s="13">
        <v>2</v>
      </c>
      <c r="G1662" s="14">
        <v>314.3</v>
      </c>
      <c r="H1662" s="13">
        <v>201</v>
      </c>
      <c r="I1662" t="s">
        <v>77</v>
      </c>
    </row>
    <row r="1663" spans="1:9" x14ac:dyDescent="0.3">
      <c r="A1663">
        <v>951</v>
      </c>
      <c r="B1663" t="s">
        <v>1301</v>
      </c>
      <c r="C1663" t="s">
        <v>123</v>
      </c>
      <c r="D1663" t="s">
        <v>65</v>
      </c>
      <c r="E1663" t="s">
        <v>1300</v>
      </c>
      <c r="F1663" s="13">
        <v>4</v>
      </c>
      <c r="G1663" s="14">
        <v>10930.43</v>
      </c>
      <c r="H1663" s="13">
        <v>201</v>
      </c>
      <c r="I1663" t="s">
        <v>77</v>
      </c>
    </row>
    <row r="1664" spans="1:9" x14ac:dyDescent="0.3">
      <c r="A1664">
        <v>1432</v>
      </c>
      <c r="B1664" t="s">
        <v>543</v>
      </c>
      <c r="C1664" t="s">
        <v>133</v>
      </c>
      <c r="D1664" t="s">
        <v>64</v>
      </c>
      <c r="E1664" t="s">
        <v>1300</v>
      </c>
      <c r="F1664" s="13">
        <v>4</v>
      </c>
      <c r="G1664" s="14">
        <v>10186.77</v>
      </c>
      <c r="H1664" s="13">
        <v>201</v>
      </c>
      <c r="I1664" t="s">
        <v>77</v>
      </c>
    </row>
    <row r="1665" spans="1:9" x14ac:dyDescent="0.3">
      <c r="A1665">
        <v>1443</v>
      </c>
      <c r="B1665" t="s">
        <v>534</v>
      </c>
      <c r="C1665" t="s">
        <v>249</v>
      </c>
      <c r="D1665" t="s">
        <v>67</v>
      </c>
      <c r="E1665" t="s">
        <v>1300</v>
      </c>
      <c r="F1665" s="13">
        <v>1</v>
      </c>
      <c r="G1665" s="14">
        <v>3926.53</v>
      </c>
      <c r="H1665" s="13">
        <v>201</v>
      </c>
      <c r="I1665" t="s">
        <v>77</v>
      </c>
    </row>
    <row r="1666" spans="1:9" x14ac:dyDescent="0.3">
      <c r="A1666">
        <v>2154</v>
      </c>
      <c r="B1666" t="s">
        <v>205</v>
      </c>
      <c r="C1666" t="s">
        <v>92</v>
      </c>
      <c r="D1666" t="s">
        <v>64</v>
      </c>
      <c r="E1666" t="s">
        <v>1300</v>
      </c>
      <c r="F1666" s="13">
        <v>3</v>
      </c>
      <c r="G1666" s="14">
        <v>9386.64</v>
      </c>
      <c r="H1666" s="13">
        <v>201</v>
      </c>
      <c r="I1666" t="s">
        <v>77</v>
      </c>
    </row>
    <row r="1667" spans="1:9" x14ac:dyDescent="0.3">
      <c r="A1667">
        <v>3735</v>
      </c>
      <c r="B1667" t="s">
        <v>1302</v>
      </c>
      <c r="C1667" t="s">
        <v>114</v>
      </c>
      <c r="D1667" t="s">
        <v>66</v>
      </c>
      <c r="E1667" t="s">
        <v>1300</v>
      </c>
      <c r="F1667" s="13">
        <v>7</v>
      </c>
      <c r="G1667" s="14">
        <v>10918.31</v>
      </c>
      <c r="H1667" s="13">
        <v>201</v>
      </c>
      <c r="I1667" t="s">
        <v>77</v>
      </c>
    </row>
    <row r="1668" spans="1:9" x14ac:dyDescent="0.3">
      <c r="A1668">
        <v>4861</v>
      </c>
      <c r="B1668" t="s">
        <v>348</v>
      </c>
      <c r="C1668" t="s">
        <v>92</v>
      </c>
      <c r="D1668" t="s">
        <v>64</v>
      </c>
      <c r="E1668" t="s">
        <v>1300</v>
      </c>
      <c r="F1668" s="13">
        <v>3</v>
      </c>
      <c r="G1668" s="14">
        <v>1910.27</v>
      </c>
      <c r="H1668" s="13">
        <v>201</v>
      </c>
      <c r="I1668" t="s">
        <v>77</v>
      </c>
    </row>
    <row r="1669" spans="1:9" x14ac:dyDescent="0.3">
      <c r="A1669">
        <v>5471</v>
      </c>
      <c r="B1669" t="s">
        <v>1303</v>
      </c>
      <c r="C1669" t="s">
        <v>95</v>
      </c>
      <c r="D1669" t="s">
        <v>65</v>
      </c>
      <c r="E1669" t="s">
        <v>1300</v>
      </c>
      <c r="F1669" s="13">
        <v>2</v>
      </c>
      <c r="G1669" s="14">
        <v>5161.82</v>
      </c>
      <c r="H1669" s="13">
        <v>201</v>
      </c>
      <c r="I1669" t="s">
        <v>77</v>
      </c>
    </row>
    <row r="1670" spans="1:9" x14ac:dyDescent="0.3">
      <c r="A1670">
        <v>5800</v>
      </c>
      <c r="B1670" t="s">
        <v>1304</v>
      </c>
      <c r="C1670" t="s">
        <v>137</v>
      </c>
      <c r="D1670" t="s">
        <v>64</v>
      </c>
      <c r="E1670" t="s">
        <v>1300</v>
      </c>
      <c r="F1670" s="13">
        <v>6</v>
      </c>
      <c r="G1670" s="14">
        <v>18730.11</v>
      </c>
      <c r="H1670" s="13">
        <v>201</v>
      </c>
      <c r="I1670" t="s">
        <v>77</v>
      </c>
    </row>
    <row r="1671" spans="1:9" x14ac:dyDescent="0.3">
      <c r="A1671">
        <v>6054</v>
      </c>
      <c r="B1671" t="s">
        <v>768</v>
      </c>
      <c r="C1671" t="s">
        <v>123</v>
      </c>
      <c r="D1671" t="s">
        <v>65</v>
      </c>
      <c r="E1671" t="s">
        <v>1300</v>
      </c>
      <c r="F1671" s="13">
        <v>2</v>
      </c>
      <c r="G1671" s="14">
        <v>958.24</v>
      </c>
      <c r="H1671" s="13">
        <v>201</v>
      </c>
      <c r="I1671" t="s">
        <v>77</v>
      </c>
    </row>
    <row r="1672" spans="1:9" x14ac:dyDescent="0.3">
      <c r="A1672">
        <v>6291</v>
      </c>
      <c r="B1672" t="s">
        <v>1305</v>
      </c>
      <c r="C1672" t="s">
        <v>92</v>
      </c>
      <c r="D1672" t="s">
        <v>64</v>
      </c>
      <c r="E1672" t="s">
        <v>1300</v>
      </c>
      <c r="F1672" s="13">
        <v>6</v>
      </c>
      <c r="G1672" s="14">
        <v>8984.7000000000007</v>
      </c>
      <c r="H1672" s="13">
        <v>201</v>
      </c>
      <c r="I1672" t="s">
        <v>77</v>
      </c>
    </row>
    <row r="1673" spans="1:9" x14ac:dyDescent="0.3">
      <c r="A1673">
        <v>7950</v>
      </c>
      <c r="B1673" t="s">
        <v>388</v>
      </c>
      <c r="C1673" t="s">
        <v>137</v>
      </c>
      <c r="D1673" t="s">
        <v>64</v>
      </c>
      <c r="E1673" t="s">
        <v>1300</v>
      </c>
      <c r="F1673" s="13">
        <v>1</v>
      </c>
      <c r="G1673" s="14">
        <v>1198.55</v>
      </c>
      <c r="H1673" s="13">
        <v>201</v>
      </c>
      <c r="I1673" t="s">
        <v>77</v>
      </c>
    </row>
    <row r="1674" spans="1:9" x14ac:dyDescent="0.3">
      <c r="A1674">
        <v>7993</v>
      </c>
      <c r="B1674" t="s">
        <v>138</v>
      </c>
      <c r="C1674" t="s">
        <v>114</v>
      </c>
      <c r="D1674" t="s">
        <v>66</v>
      </c>
      <c r="E1674" t="s">
        <v>1300</v>
      </c>
      <c r="F1674" s="13">
        <v>3</v>
      </c>
      <c r="G1674" s="14">
        <v>5220.03</v>
      </c>
      <c r="H1674" s="13">
        <v>201</v>
      </c>
      <c r="I1674" t="s">
        <v>77</v>
      </c>
    </row>
    <row r="1675" spans="1:9" x14ac:dyDescent="0.3">
      <c r="A1675">
        <v>8176</v>
      </c>
      <c r="B1675" t="s">
        <v>400</v>
      </c>
      <c r="C1675" t="s">
        <v>92</v>
      </c>
      <c r="D1675" t="s">
        <v>64</v>
      </c>
      <c r="E1675" t="s">
        <v>1300</v>
      </c>
      <c r="F1675" s="13">
        <v>3</v>
      </c>
      <c r="G1675" s="14">
        <v>13546.37</v>
      </c>
      <c r="H1675" s="13">
        <v>201</v>
      </c>
      <c r="I1675" t="s">
        <v>77</v>
      </c>
    </row>
    <row r="1676" spans="1:9" x14ac:dyDescent="0.3">
      <c r="A1676">
        <v>8333</v>
      </c>
      <c r="B1676" t="s">
        <v>1228</v>
      </c>
      <c r="C1676" t="s">
        <v>123</v>
      </c>
      <c r="D1676" t="s">
        <v>65</v>
      </c>
      <c r="E1676" t="s">
        <v>1300</v>
      </c>
      <c r="F1676" s="13">
        <v>3</v>
      </c>
      <c r="G1676" s="14">
        <v>3466.24</v>
      </c>
      <c r="H1676" s="13">
        <v>201</v>
      </c>
      <c r="I1676" t="s">
        <v>77</v>
      </c>
    </row>
    <row r="1677" spans="1:9" x14ac:dyDescent="0.3">
      <c r="A1677">
        <v>151</v>
      </c>
      <c r="B1677" t="s">
        <v>426</v>
      </c>
      <c r="C1677" t="s">
        <v>87</v>
      </c>
      <c r="D1677" t="s">
        <v>64</v>
      </c>
      <c r="E1677" t="s">
        <v>1306</v>
      </c>
      <c r="F1677" s="13">
        <v>1</v>
      </c>
      <c r="G1677" s="14">
        <v>3529.9</v>
      </c>
      <c r="H1677" s="13">
        <v>200</v>
      </c>
      <c r="I1677" t="s">
        <v>77</v>
      </c>
    </row>
    <row r="1678" spans="1:9" x14ac:dyDescent="0.3">
      <c r="A1678">
        <v>280</v>
      </c>
      <c r="B1678" t="s">
        <v>1307</v>
      </c>
      <c r="C1678" t="s">
        <v>133</v>
      </c>
      <c r="D1678" t="s">
        <v>64</v>
      </c>
      <c r="E1678" t="s">
        <v>1306</v>
      </c>
      <c r="F1678" s="13">
        <v>3</v>
      </c>
      <c r="G1678" s="14">
        <v>1444.7</v>
      </c>
      <c r="H1678" s="13">
        <v>200</v>
      </c>
      <c r="I1678" t="s">
        <v>77</v>
      </c>
    </row>
    <row r="1679" spans="1:9" x14ac:dyDescent="0.3">
      <c r="A1679">
        <v>672</v>
      </c>
      <c r="B1679" t="s">
        <v>120</v>
      </c>
      <c r="C1679" t="s">
        <v>92</v>
      </c>
      <c r="D1679" t="s">
        <v>64</v>
      </c>
      <c r="E1679" t="s">
        <v>1306</v>
      </c>
      <c r="F1679" s="13">
        <v>1</v>
      </c>
      <c r="G1679" s="14">
        <v>57.03</v>
      </c>
      <c r="H1679" s="13">
        <v>200</v>
      </c>
      <c r="I1679" t="s">
        <v>77</v>
      </c>
    </row>
    <row r="1680" spans="1:9" x14ac:dyDescent="0.3">
      <c r="A1680">
        <v>2075</v>
      </c>
      <c r="B1680" t="s">
        <v>630</v>
      </c>
      <c r="C1680" t="s">
        <v>133</v>
      </c>
      <c r="D1680" t="s">
        <v>64</v>
      </c>
      <c r="E1680" t="s">
        <v>1306</v>
      </c>
      <c r="F1680" s="13">
        <v>1</v>
      </c>
      <c r="G1680" s="14">
        <v>4588.8900000000003</v>
      </c>
      <c r="H1680" s="13">
        <v>200</v>
      </c>
      <c r="I1680" t="s">
        <v>77</v>
      </c>
    </row>
    <row r="1681" spans="1:9" x14ac:dyDescent="0.3">
      <c r="A1681">
        <v>3253</v>
      </c>
      <c r="B1681" t="s">
        <v>415</v>
      </c>
      <c r="C1681" t="s">
        <v>92</v>
      </c>
      <c r="D1681" t="s">
        <v>64</v>
      </c>
      <c r="E1681" t="s">
        <v>1306</v>
      </c>
      <c r="F1681" s="13">
        <v>1</v>
      </c>
      <c r="G1681" s="14">
        <v>1667.54</v>
      </c>
      <c r="H1681" s="13">
        <v>200</v>
      </c>
      <c r="I1681" t="s">
        <v>77</v>
      </c>
    </row>
    <row r="1682" spans="1:9" x14ac:dyDescent="0.3">
      <c r="A1682">
        <v>7244</v>
      </c>
      <c r="B1682" t="s">
        <v>1308</v>
      </c>
      <c r="C1682" t="s">
        <v>137</v>
      </c>
      <c r="D1682" t="s">
        <v>64</v>
      </c>
      <c r="E1682" t="s">
        <v>1306</v>
      </c>
      <c r="F1682" s="13">
        <v>1</v>
      </c>
      <c r="G1682" s="14">
        <v>3564.4</v>
      </c>
      <c r="H1682" s="13">
        <v>200</v>
      </c>
      <c r="I1682" t="s">
        <v>77</v>
      </c>
    </row>
    <row r="1683" spans="1:9" x14ac:dyDescent="0.3">
      <c r="A1683">
        <v>392</v>
      </c>
      <c r="B1683" t="s">
        <v>559</v>
      </c>
      <c r="C1683" t="s">
        <v>92</v>
      </c>
      <c r="D1683" t="s">
        <v>64</v>
      </c>
      <c r="E1683" t="s">
        <v>1309</v>
      </c>
      <c r="F1683" s="13">
        <v>3</v>
      </c>
      <c r="G1683" s="14">
        <v>4178.9799999999996</v>
      </c>
      <c r="H1683" s="13">
        <v>199</v>
      </c>
      <c r="I1683" t="s">
        <v>77</v>
      </c>
    </row>
    <row r="1684" spans="1:9" x14ac:dyDescent="0.3">
      <c r="A1684">
        <v>738</v>
      </c>
      <c r="B1684" t="s">
        <v>479</v>
      </c>
      <c r="C1684" t="s">
        <v>137</v>
      </c>
      <c r="D1684" t="s">
        <v>64</v>
      </c>
      <c r="E1684" t="s">
        <v>1309</v>
      </c>
      <c r="F1684" s="13">
        <v>2</v>
      </c>
      <c r="G1684" s="14">
        <v>7914.92</v>
      </c>
      <c r="H1684" s="13">
        <v>199</v>
      </c>
      <c r="I1684" t="s">
        <v>77</v>
      </c>
    </row>
    <row r="1685" spans="1:9" x14ac:dyDescent="0.3">
      <c r="A1685">
        <v>1199</v>
      </c>
      <c r="B1685" t="s">
        <v>415</v>
      </c>
      <c r="C1685" t="s">
        <v>92</v>
      </c>
      <c r="D1685" t="s">
        <v>64</v>
      </c>
      <c r="E1685" t="s">
        <v>1309</v>
      </c>
      <c r="F1685" s="13">
        <v>1</v>
      </c>
      <c r="G1685" s="14">
        <v>16422.8</v>
      </c>
      <c r="H1685" s="13">
        <v>199</v>
      </c>
      <c r="I1685" t="s">
        <v>77</v>
      </c>
    </row>
    <row r="1686" spans="1:9" x14ac:dyDescent="0.3">
      <c r="A1686">
        <v>2382</v>
      </c>
      <c r="B1686" t="s">
        <v>169</v>
      </c>
      <c r="C1686" t="s">
        <v>249</v>
      </c>
      <c r="D1686" t="s">
        <v>67</v>
      </c>
      <c r="E1686" t="s">
        <v>1309</v>
      </c>
      <c r="F1686" s="13">
        <v>2</v>
      </c>
      <c r="G1686" s="14">
        <v>4749.68</v>
      </c>
      <c r="H1686" s="13">
        <v>199</v>
      </c>
      <c r="I1686" t="s">
        <v>77</v>
      </c>
    </row>
    <row r="1687" spans="1:9" x14ac:dyDescent="0.3">
      <c r="A1687">
        <v>2908</v>
      </c>
      <c r="B1687" t="s">
        <v>142</v>
      </c>
      <c r="C1687" t="s">
        <v>123</v>
      </c>
      <c r="D1687" t="s">
        <v>65</v>
      </c>
      <c r="E1687" t="s">
        <v>1309</v>
      </c>
      <c r="F1687" s="13">
        <v>4</v>
      </c>
      <c r="G1687" s="14">
        <v>5206.2700000000004</v>
      </c>
      <c r="H1687" s="13">
        <v>199</v>
      </c>
      <c r="I1687" t="s">
        <v>77</v>
      </c>
    </row>
    <row r="1688" spans="1:9" x14ac:dyDescent="0.3">
      <c r="A1688">
        <v>3015</v>
      </c>
      <c r="B1688" t="s">
        <v>253</v>
      </c>
      <c r="C1688" t="s">
        <v>114</v>
      </c>
      <c r="D1688" t="s">
        <v>66</v>
      </c>
      <c r="E1688" t="s">
        <v>1309</v>
      </c>
      <c r="F1688" s="13">
        <v>1</v>
      </c>
      <c r="G1688" s="14">
        <v>285.93</v>
      </c>
      <c r="H1688" s="13">
        <v>199</v>
      </c>
      <c r="I1688" t="s">
        <v>77</v>
      </c>
    </row>
    <row r="1689" spans="1:9" x14ac:dyDescent="0.3">
      <c r="A1689">
        <v>3167</v>
      </c>
      <c r="B1689" t="s">
        <v>327</v>
      </c>
      <c r="C1689" t="s">
        <v>133</v>
      </c>
      <c r="D1689" t="s">
        <v>64</v>
      </c>
      <c r="E1689" t="s">
        <v>1309</v>
      </c>
      <c r="F1689" s="13">
        <v>1</v>
      </c>
      <c r="G1689" s="14">
        <v>85.32</v>
      </c>
      <c r="H1689" s="13">
        <v>199</v>
      </c>
      <c r="I1689" t="s">
        <v>77</v>
      </c>
    </row>
    <row r="1690" spans="1:9" x14ac:dyDescent="0.3">
      <c r="A1690">
        <v>3605</v>
      </c>
      <c r="B1690" t="s">
        <v>142</v>
      </c>
      <c r="C1690" t="s">
        <v>133</v>
      </c>
      <c r="D1690" t="s">
        <v>64</v>
      </c>
      <c r="E1690" t="s">
        <v>1309</v>
      </c>
      <c r="F1690" s="13">
        <v>3</v>
      </c>
      <c r="G1690" s="14">
        <v>9012.59</v>
      </c>
      <c r="H1690" s="13">
        <v>199</v>
      </c>
      <c r="I1690" t="s">
        <v>77</v>
      </c>
    </row>
    <row r="1691" spans="1:9" x14ac:dyDescent="0.3">
      <c r="A1691">
        <v>4009</v>
      </c>
      <c r="B1691" t="s">
        <v>142</v>
      </c>
      <c r="C1691" t="s">
        <v>97</v>
      </c>
      <c r="D1691" t="s">
        <v>65</v>
      </c>
      <c r="E1691" t="s">
        <v>1309</v>
      </c>
      <c r="F1691" s="13">
        <v>1</v>
      </c>
      <c r="G1691" s="14">
        <v>1116.3800000000001</v>
      </c>
      <c r="H1691" s="13">
        <v>199</v>
      </c>
      <c r="I1691" t="s">
        <v>77</v>
      </c>
    </row>
    <row r="1692" spans="1:9" x14ac:dyDescent="0.3">
      <c r="A1692">
        <v>4514</v>
      </c>
      <c r="B1692" t="s">
        <v>277</v>
      </c>
      <c r="C1692" t="s">
        <v>92</v>
      </c>
      <c r="D1692" t="s">
        <v>64</v>
      </c>
      <c r="E1692" t="s">
        <v>1309</v>
      </c>
      <c r="F1692" s="13">
        <v>1</v>
      </c>
      <c r="G1692" s="14">
        <v>5593.34</v>
      </c>
      <c r="H1692" s="13">
        <v>199</v>
      </c>
      <c r="I1692" t="s">
        <v>77</v>
      </c>
    </row>
    <row r="1693" spans="1:9" x14ac:dyDescent="0.3">
      <c r="A1693">
        <v>4766</v>
      </c>
      <c r="B1693" t="s">
        <v>756</v>
      </c>
      <c r="C1693" t="s">
        <v>92</v>
      </c>
      <c r="D1693" t="s">
        <v>64</v>
      </c>
      <c r="E1693" t="s">
        <v>1309</v>
      </c>
      <c r="F1693" s="13">
        <v>2</v>
      </c>
      <c r="G1693" s="14">
        <v>2532.25</v>
      </c>
      <c r="H1693" s="13">
        <v>199</v>
      </c>
      <c r="I1693" t="s">
        <v>77</v>
      </c>
    </row>
    <row r="1694" spans="1:9" x14ac:dyDescent="0.3">
      <c r="A1694">
        <v>5367</v>
      </c>
      <c r="B1694" t="s">
        <v>1310</v>
      </c>
      <c r="C1694" t="s">
        <v>97</v>
      </c>
      <c r="D1694" t="s">
        <v>65</v>
      </c>
      <c r="E1694" t="s">
        <v>1309</v>
      </c>
      <c r="F1694" s="13">
        <v>3</v>
      </c>
      <c r="G1694" s="14">
        <v>17832.86</v>
      </c>
      <c r="H1694" s="13">
        <v>199</v>
      </c>
      <c r="I1694" t="s">
        <v>77</v>
      </c>
    </row>
    <row r="1695" spans="1:9" x14ac:dyDescent="0.3">
      <c r="A1695">
        <v>5515</v>
      </c>
      <c r="B1695" t="s">
        <v>364</v>
      </c>
      <c r="C1695" t="s">
        <v>100</v>
      </c>
      <c r="D1695" t="s">
        <v>66</v>
      </c>
      <c r="E1695" t="s">
        <v>1309</v>
      </c>
      <c r="F1695" s="13">
        <v>1</v>
      </c>
      <c r="G1695" s="14">
        <v>2400.9699999999998</v>
      </c>
      <c r="H1695" s="13">
        <v>199</v>
      </c>
      <c r="I1695" t="s">
        <v>77</v>
      </c>
    </row>
    <row r="1696" spans="1:9" x14ac:dyDescent="0.3">
      <c r="A1696">
        <v>6398</v>
      </c>
      <c r="B1696" t="s">
        <v>1311</v>
      </c>
      <c r="C1696" t="s">
        <v>92</v>
      </c>
      <c r="D1696" t="s">
        <v>64</v>
      </c>
      <c r="E1696" t="s">
        <v>1309</v>
      </c>
      <c r="F1696" s="13">
        <v>2</v>
      </c>
      <c r="G1696" s="14">
        <v>11154.45</v>
      </c>
      <c r="H1696" s="13">
        <v>199</v>
      </c>
      <c r="I1696" t="s">
        <v>77</v>
      </c>
    </row>
    <row r="1697" spans="1:9" x14ac:dyDescent="0.3">
      <c r="A1697">
        <v>1237</v>
      </c>
      <c r="B1697" t="s">
        <v>1312</v>
      </c>
      <c r="C1697" t="s">
        <v>92</v>
      </c>
      <c r="D1697" t="s">
        <v>64</v>
      </c>
      <c r="E1697" t="s">
        <v>1313</v>
      </c>
      <c r="F1697" s="13">
        <v>2</v>
      </c>
      <c r="G1697" s="14">
        <v>10098.370000000001</v>
      </c>
      <c r="H1697" s="13">
        <v>198</v>
      </c>
      <c r="I1697" t="s">
        <v>77</v>
      </c>
    </row>
    <row r="1698" spans="1:9" x14ac:dyDescent="0.3">
      <c r="A1698">
        <v>2250</v>
      </c>
      <c r="B1698" t="s">
        <v>366</v>
      </c>
      <c r="C1698" t="s">
        <v>92</v>
      </c>
      <c r="D1698" t="s">
        <v>64</v>
      </c>
      <c r="E1698" t="s">
        <v>1313</v>
      </c>
      <c r="F1698" s="13">
        <v>3</v>
      </c>
      <c r="G1698" s="14">
        <v>2132.21</v>
      </c>
      <c r="H1698" s="13">
        <v>198</v>
      </c>
      <c r="I1698" t="s">
        <v>77</v>
      </c>
    </row>
    <row r="1699" spans="1:9" x14ac:dyDescent="0.3">
      <c r="A1699">
        <v>3792</v>
      </c>
      <c r="B1699" t="s">
        <v>135</v>
      </c>
      <c r="C1699" t="s">
        <v>133</v>
      </c>
      <c r="D1699" t="s">
        <v>64</v>
      </c>
      <c r="E1699" t="s">
        <v>1313</v>
      </c>
      <c r="F1699" s="13">
        <v>1</v>
      </c>
      <c r="G1699" s="14">
        <v>622.67999999999995</v>
      </c>
      <c r="H1699" s="13">
        <v>198</v>
      </c>
      <c r="I1699" t="s">
        <v>77</v>
      </c>
    </row>
    <row r="1700" spans="1:9" x14ac:dyDescent="0.3">
      <c r="A1700">
        <v>4712</v>
      </c>
      <c r="B1700" t="s">
        <v>1314</v>
      </c>
      <c r="C1700" t="s">
        <v>123</v>
      </c>
      <c r="D1700" t="s">
        <v>65</v>
      </c>
      <c r="E1700" t="s">
        <v>1313</v>
      </c>
      <c r="F1700" s="13">
        <v>1</v>
      </c>
      <c r="G1700" s="14">
        <v>3157.05</v>
      </c>
      <c r="H1700" s="13">
        <v>198</v>
      </c>
      <c r="I1700" t="s">
        <v>77</v>
      </c>
    </row>
    <row r="1701" spans="1:9" x14ac:dyDescent="0.3">
      <c r="A1701">
        <v>4884</v>
      </c>
      <c r="B1701" t="s">
        <v>922</v>
      </c>
      <c r="C1701" t="s">
        <v>133</v>
      </c>
      <c r="D1701" t="s">
        <v>64</v>
      </c>
      <c r="E1701" t="s">
        <v>1313</v>
      </c>
      <c r="F1701" s="13">
        <v>3</v>
      </c>
      <c r="G1701" s="14">
        <v>4347.17</v>
      </c>
      <c r="H1701" s="13">
        <v>198</v>
      </c>
      <c r="I1701" t="s">
        <v>77</v>
      </c>
    </row>
    <row r="1702" spans="1:9" x14ac:dyDescent="0.3">
      <c r="A1702">
        <v>5508</v>
      </c>
      <c r="B1702" t="s">
        <v>240</v>
      </c>
      <c r="C1702" t="s">
        <v>90</v>
      </c>
      <c r="D1702" t="s">
        <v>66</v>
      </c>
      <c r="E1702" t="s">
        <v>1313</v>
      </c>
      <c r="F1702" s="13">
        <v>1</v>
      </c>
      <c r="G1702" s="14">
        <v>404.46</v>
      </c>
      <c r="H1702" s="13">
        <v>198</v>
      </c>
      <c r="I1702" t="s">
        <v>77</v>
      </c>
    </row>
    <row r="1703" spans="1:9" x14ac:dyDescent="0.3">
      <c r="A1703">
        <v>5844</v>
      </c>
      <c r="B1703" t="s">
        <v>694</v>
      </c>
      <c r="C1703" t="s">
        <v>137</v>
      </c>
      <c r="D1703" t="s">
        <v>64</v>
      </c>
      <c r="E1703" t="s">
        <v>1313</v>
      </c>
      <c r="F1703" s="13">
        <v>6</v>
      </c>
      <c r="G1703" s="14">
        <v>21110.27</v>
      </c>
      <c r="H1703" s="13">
        <v>198</v>
      </c>
      <c r="I1703" t="s">
        <v>77</v>
      </c>
    </row>
    <row r="1704" spans="1:9" x14ac:dyDescent="0.3">
      <c r="A1704">
        <v>6439</v>
      </c>
      <c r="B1704" t="s">
        <v>1315</v>
      </c>
      <c r="C1704" t="s">
        <v>92</v>
      </c>
      <c r="D1704" t="s">
        <v>64</v>
      </c>
      <c r="E1704" t="s">
        <v>1313</v>
      </c>
      <c r="F1704" s="13">
        <v>3</v>
      </c>
      <c r="G1704" s="14">
        <v>16303.66</v>
      </c>
      <c r="H1704" s="13">
        <v>198</v>
      </c>
      <c r="I1704" t="s">
        <v>77</v>
      </c>
    </row>
    <row r="1705" spans="1:9" x14ac:dyDescent="0.3">
      <c r="A1705">
        <v>6749</v>
      </c>
      <c r="B1705" t="s">
        <v>1316</v>
      </c>
      <c r="C1705" t="s">
        <v>92</v>
      </c>
      <c r="D1705" t="s">
        <v>64</v>
      </c>
      <c r="E1705" t="s">
        <v>1313</v>
      </c>
      <c r="F1705" s="13">
        <v>1</v>
      </c>
      <c r="G1705" s="14">
        <v>1385.64</v>
      </c>
      <c r="H1705" s="13">
        <v>198</v>
      </c>
      <c r="I1705" t="s">
        <v>77</v>
      </c>
    </row>
    <row r="1706" spans="1:9" x14ac:dyDescent="0.3">
      <c r="A1706">
        <v>7140</v>
      </c>
      <c r="B1706" t="s">
        <v>1317</v>
      </c>
      <c r="C1706" t="s">
        <v>114</v>
      </c>
      <c r="D1706" t="s">
        <v>66</v>
      </c>
      <c r="E1706" t="s">
        <v>1313</v>
      </c>
      <c r="F1706" s="13">
        <v>3</v>
      </c>
      <c r="G1706" s="14">
        <v>11806.34</v>
      </c>
      <c r="H1706" s="13">
        <v>198</v>
      </c>
      <c r="I1706" t="s">
        <v>77</v>
      </c>
    </row>
    <row r="1707" spans="1:9" x14ac:dyDescent="0.3">
      <c r="A1707">
        <v>7192</v>
      </c>
      <c r="B1707" t="s">
        <v>94</v>
      </c>
      <c r="C1707" t="s">
        <v>123</v>
      </c>
      <c r="D1707" t="s">
        <v>65</v>
      </c>
      <c r="E1707" t="s">
        <v>1313</v>
      </c>
      <c r="F1707" s="13">
        <v>5</v>
      </c>
      <c r="G1707" s="14">
        <v>8701.09</v>
      </c>
      <c r="H1707" s="13">
        <v>198</v>
      </c>
      <c r="I1707" t="s">
        <v>77</v>
      </c>
    </row>
    <row r="1708" spans="1:9" x14ac:dyDescent="0.3">
      <c r="A1708">
        <v>7629</v>
      </c>
      <c r="B1708" t="s">
        <v>735</v>
      </c>
      <c r="C1708" t="s">
        <v>97</v>
      </c>
      <c r="D1708" t="s">
        <v>65</v>
      </c>
      <c r="E1708" t="s">
        <v>1313</v>
      </c>
      <c r="F1708" s="13">
        <v>2</v>
      </c>
      <c r="G1708" s="14">
        <v>289.81</v>
      </c>
      <c r="H1708" s="13">
        <v>198</v>
      </c>
      <c r="I1708" t="s">
        <v>77</v>
      </c>
    </row>
    <row r="1709" spans="1:9" x14ac:dyDescent="0.3">
      <c r="A1709">
        <v>8943</v>
      </c>
      <c r="B1709" t="s">
        <v>1318</v>
      </c>
      <c r="C1709" t="s">
        <v>92</v>
      </c>
      <c r="D1709" t="s">
        <v>64</v>
      </c>
      <c r="E1709" t="s">
        <v>1313</v>
      </c>
      <c r="F1709" s="13">
        <v>2</v>
      </c>
      <c r="G1709" s="14">
        <v>391.47</v>
      </c>
      <c r="H1709" s="13">
        <v>198</v>
      </c>
      <c r="I1709" t="s">
        <v>77</v>
      </c>
    </row>
    <row r="1710" spans="1:9" x14ac:dyDescent="0.3">
      <c r="A1710">
        <v>408</v>
      </c>
      <c r="B1710" t="s">
        <v>1319</v>
      </c>
      <c r="C1710" t="s">
        <v>97</v>
      </c>
      <c r="D1710" t="s">
        <v>65</v>
      </c>
      <c r="E1710" t="s">
        <v>1320</v>
      </c>
      <c r="F1710" s="13">
        <v>2</v>
      </c>
      <c r="G1710" s="14">
        <v>4526.32</v>
      </c>
      <c r="H1710" s="13">
        <v>197</v>
      </c>
      <c r="I1710" t="s">
        <v>77</v>
      </c>
    </row>
    <row r="1711" spans="1:9" x14ac:dyDescent="0.3">
      <c r="A1711">
        <v>987</v>
      </c>
      <c r="B1711" t="s">
        <v>89</v>
      </c>
      <c r="C1711" t="s">
        <v>114</v>
      </c>
      <c r="D1711" t="s">
        <v>66</v>
      </c>
      <c r="E1711" t="s">
        <v>1320</v>
      </c>
      <c r="F1711" s="13">
        <v>1</v>
      </c>
      <c r="G1711" s="14">
        <v>5816.06</v>
      </c>
      <c r="H1711" s="13">
        <v>197</v>
      </c>
      <c r="I1711" t="s">
        <v>77</v>
      </c>
    </row>
    <row r="1712" spans="1:9" x14ac:dyDescent="0.3">
      <c r="A1712">
        <v>2771</v>
      </c>
      <c r="B1712" t="s">
        <v>1321</v>
      </c>
      <c r="C1712" t="s">
        <v>103</v>
      </c>
      <c r="D1712" t="s">
        <v>67</v>
      </c>
      <c r="E1712" t="s">
        <v>1320</v>
      </c>
      <c r="F1712" s="13">
        <v>4</v>
      </c>
      <c r="G1712" s="14">
        <v>2029.65</v>
      </c>
      <c r="H1712" s="13">
        <v>197</v>
      </c>
      <c r="I1712" t="s">
        <v>77</v>
      </c>
    </row>
    <row r="1713" spans="1:9" x14ac:dyDescent="0.3">
      <c r="A1713">
        <v>2949</v>
      </c>
      <c r="B1713" t="s">
        <v>277</v>
      </c>
      <c r="C1713" t="s">
        <v>114</v>
      </c>
      <c r="D1713" t="s">
        <v>66</v>
      </c>
      <c r="E1713" t="s">
        <v>1320</v>
      </c>
      <c r="F1713" s="13">
        <v>1</v>
      </c>
      <c r="G1713" s="14">
        <v>1245.43</v>
      </c>
      <c r="H1713" s="13">
        <v>197</v>
      </c>
      <c r="I1713" t="s">
        <v>77</v>
      </c>
    </row>
    <row r="1714" spans="1:9" x14ac:dyDescent="0.3">
      <c r="A1714">
        <v>3430</v>
      </c>
      <c r="B1714" t="s">
        <v>1322</v>
      </c>
      <c r="C1714" t="s">
        <v>92</v>
      </c>
      <c r="D1714" t="s">
        <v>64</v>
      </c>
      <c r="E1714" t="s">
        <v>1320</v>
      </c>
      <c r="F1714" s="13">
        <v>3</v>
      </c>
      <c r="G1714" s="14">
        <v>6044.86</v>
      </c>
      <c r="H1714" s="13">
        <v>197</v>
      </c>
      <c r="I1714" t="s">
        <v>77</v>
      </c>
    </row>
    <row r="1715" spans="1:9" x14ac:dyDescent="0.3">
      <c r="A1715">
        <v>3657</v>
      </c>
      <c r="B1715" t="s">
        <v>175</v>
      </c>
      <c r="C1715" t="s">
        <v>92</v>
      </c>
      <c r="D1715" t="s">
        <v>64</v>
      </c>
      <c r="E1715" t="s">
        <v>1320</v>
      </c>
      <c r="F1715" s="13">
        <v>1</v>
      </c>
      <c r="G1715" s="14">
        <v>764.87</v>
      </c>
      <c r="H1715" s="13">
        <v>197</v>
      </c>
      <c r="I1715" t="s">
        <v>77</v>
      </c>
    </row>
    <row r="1716" spans="1:9" x14ac:dyDescent="0.3">
      <c r="A1716">
        <v>4390</v>
      </c>
      <c r="B1716" t="s">
        <v>638</v>
      </c>
      <c r="C1716" t="s">
        <v>133</v>
      </c>
      <c r="D1716" t="s">
        <v>64</v>
      </c>
      <c r="E1716" t="s">
        <v>1320</v>
      </c>
      <c r="F1716" s="13">
        <v>2</v>
      </c>
      <c r="G1716" s="14">
        <v>6961.74</v>
      </c>
      <c r="H1716" s="13">
        <v>197</v>
      </c>
      <c r="I1716" t="s">
        <v>77</v>
      </c>
    </row>
    <row r="1717" spans="1:9" x14ac:dyDescent="0.3">
      <c r="A1717">
        <v>6037</v>
      </c>
      <c r="B1717" t="s">
        <v>371</v>
      </c>
      <c r="C1717" t="s">
        <v>133</v>
      </c>
      <c r="D1717" t="s">
        <v>64</v>
      </c>
      <c r="E1717" t="s">
        <v>1320</v>
      </c>
      <c r="F1717" s="13">
        <v>2</v>
      </c>
      <c r="G1717" s="14">
        <v>5186.55</v>
      </c>
      <c r="H1717" s="13">
        <v>197</v>
      </c>
      <c r="I1717" t="s">
        <v>77</v>
      </c>
    </row>
    <row r="1718" spans="1:9" x14ac:dyDescent="0.3">
      <c r="A1718">
        <v>6730</v>
      </c>
      <c r="B1718" t="s">
        <v>1323</v>
      </c>
      <c r="C1718" t="s">
        <v>123</v>
      </c>
      <c r="D1718" t="s">
        <v>65</v>
      </c>
      <c r="E1718" t="s">
        <v>1320</v>
      </c>
      <c r="F1718" s="13">
        <v>1</v>
      </c>
      <c r="G1718" s="14">
        <v>440.14</v>
      </c>
      <c r="H1718" s="13">
        <v>197</v>
      </c>
      <c r="I1718" t="s">
        <v>77</v>
      </c>
    </row>
    <row r="1719" spans="1:9" x14ac:dyDescent="0.3">
      <c r="A1719">
        <v>7920</v>
      </c>
      <c r="B1719" t="s">
        <v>175</v>
      </c>
      <c r="C1719" t="s">
        <v>121</v>
      </c>
      <c r="D1719" t="s">
        <v>67</v>
      </c>
      <c r="E1719" t="s">
        <v>1320</v>
      </c>
      <c r="F1719" s="13">
        <v>1</v>
      </c>
      <c r="G1719" s="14">
        <v>7137.4</v>
      </c>
      <c r="H1719" s="13">
        <v>197</v>
      </c>
      <c r="I1719" t="s">
        <v>77</v>
      </c>
    </row>
    <row r="1720" spans="1:9" x14ac:dyDescent="0.3">
      <c r="A1720">
        <v>1826</v>
      </c>
      <c r="B1720" t="s">
        <v>361</v>
      </c>
      <c r="C1720" t="s">
        <v>90</v>
      </c>
      <c r="D1720" t="s">
        <v>66</v>
      </c>
      <c r="E1720" t="s">
        <v>1324</v>
      </c>
      <c r="F1720" s="13">
        <v>2</v>
      </c>
      <c r="G1720" s="14">
        <v>562.72</v>
      </c>
      <c r="H1720" s="13">
        <v>196</v>
      </c>
      <c r="I1720" t="s">
        <v>77</v>
      </c>
    </row>
    <row r="1721" spans="1:9" x14ac:dyDescent="0.3">
      <c r="A1721">
        <v>1850</v>
      </c>
      <c r="B1721" t="s">
        <v>1325</v>
      </c>
      <c r="C1721" t="s">
        <v>92</v>
      </c>
      <c r="D1721" t="s">
        <v>64</v>
      </c>
      <c r="E1721" t="s">
        <v>1324</v>
      </c>
      <c r="F1721" s="13">
        <v>2</v>
      </c>
      <c r="G1721" s="14">
        <v>1449.24</v>
      </c>
      <c r="H1721" s="13">
        <v>196</v>
      </c>
      <c r="I1721" t="s">
        <v>77</v>
      </c>
    </row>
    <row r="1722" spans="1:9" x14ac:dyDescent="0.3">
      <c r="A1722">
        <v>1959</v>
      </c>
      <c r="B1722" t="s">
        <v>1326</v>
      </c>
      <c r="C1722" t="s">
        <v>92</v>
      </c>
      <c r="D1722" t="s">
        <v>64</v>
      </c>
      <c r="E1722" t="s">
        <v>1324</v>
      </c>
      <c r="F1722" s="13">
        <v>2</v>
      </c>
      <c r="G1722" s="14">
        <v>13541.19</v>
      </c>
      <c r="H1722" s="13">
        <v>196</v>
      </c>
      <c r="I1722" t="s">
        <v>77</v>
      </c>
    </row>
    <row r="1723" spans="1:9" x14ac:dyDescent="0.3">
      <c r="A1723">
        <v>2355</v>
      </c>
      <c r="B1723" t="s">
        <v>1327</v>
      </c>
      <c r="C1723" t="s">
        <v>95</v>
      </c>
      <c r="D1723" t="s">
        <v>65</v>
      </c>
      <c r="E1723" t="s">
        <v>1324</v>
      </c>
      <c r="F1723" s="13">
        <v>1</v>
      </c>
      <c r="G1723" s="14">
        <v>2107.42</v>
      </c>
      <c r="H1723" s="13">
        <v>196</v>
      </c>
      <c r="I1723" t="s">
        <v>77</v>
      </c>
    </row>
    <row r="1724" spans="1:9" x14ac:dyDescent="0.3">
      <c r="A1724">
        <v>2567</v>
      </c>
      <c r="B1724" t="s">
        <v>1328</v>
      </c>
      <c r="C1724" t="s">
        <v>123</v>
      </c>
      <c r="D1724" t="s">
        <v>65</v>
      </c>
      <c r="E1724" t="s">
        <v>1324</v>
      </c>
      <c r="F1724" s="13">
        <v>6</v>
      </c>
      <c r="G1724" s="14">
        <v>4860.6000000000004</v>
      </c>
      <c r="H1724" s="13">
        <v>196</v>
      </c>
      <c r="I1724" t="s">
        <v>77</v>
      </c>
    </row>
    <row r="1725" spans="1:9" x14ac:dyDescent="0.3">
      <c r="A1725">
        <v>2821</v>
      </c>
      <c r="B1725" t="s">
        <v>449</v>
      </c>
      <c r="C1725" t="s">
        <v>137</v>
      </c>
      <c r="D1725" t="s">
        <v>64</v>
      </c>
      <c r="E1725" t="s">
        <v>1324</v>
      </c>
      <c r="F1725" s="13">
        <v>3</v>
      </c>
      <c r="G1725" s="14">
        <v>10199.14</v>
      </c>
      <c r="H1725" s="13">
        <v>196</v>
      </c>
      <c r="I1725" t="s">
        <v>77</v>
      </c>
    </row>
    <row r="1726" spans="1:9" x14ac:dyDescent="0.3">
      <c r="A1726">
        <v>3321</v>
      </c>
      <c r="B1726" t="s">
        <v>1329</v>
      </c>
      <c r="C1726" t="s">
        <v>92</v>
      </c>
      <c r="D1726" t="s">
        <v>64</v>
      </c>
      <c r="E1726" t="s">
        <v>1324</v>
      </c>
      <c r="F1726" s="13">
        <v>2</v>
      </c>
      <c r="G1726" s="14">
        <v>1126.46</v>
      </c>
      <c r="H1726" s="13">
        <v>196</v>
      </c>
      <c r="I1726" t="s">
        <v>77</v>
      </c>
    </row>
    <row r="1727" spans="1:9" x14ac:dyDescent="0.3">
      <c r="A1727">
        <v>3341</v>
      </c>
      <c r="B1727" t="s">
        <v>1330</v>
      </c>
      <c r="C1727" t="s">
        <v>95</v>
      </c>
      <c r="D1727" t="s">
        <v>65</v>
      </c>
      <c r="E1727" t="s">
        <v>1324</v>
      </c>
      <c r="F1727" s="13">
        <v>1</v>
      </c>
      <c r="G1727" s="14">
        <v>3775.87</v>
      </c>
      <c r="H1727" s="13">
        <v>196</v>
      </c>
      <c r="I1727" t="s">
        <v>77</v>
      </c>
    </row>
    <row r="1728" spans="1:9" x14ac:dyDescent="0.3">
      <c r="A1728">
        <v>4619</v>
      </c>
      <c r="B1728" t="s">
        <v>1331</v>
      </c>
      <c r="C1728" t="s">
        <v>137</v>
      </c>
      <c r="D1728" t="s">
        <v>64</v>
      </c>
      <c r="E1728" t="s">
        <v>1324</v>
      </c>
      <c r="F1728" s="13">
        <v>2</v>
      </c>
      <c r="G1728" s="14">
        <v>3389.86</v>
      </c>
      <c r="H1728" s="13">
        <v>196</v>
      </c>
      <c r="I1728" t="s">
        <v>77</v>
      </c>
    </row>
    <row r="1729" spans="1:9" x14ac:dyDescent="0.3">
      <c r="A1729">
        <v>4810</v>
      </c>
      <c r="B1729" t="s">
        <v>1332</v>
      </c>
      <c r="C1729" t="s">
        <v>92</v>
      </c>
      <c r="D1729" t="s">
        <v>64</v>
      </c>
      <c r="E1729" t="s">
        <v>1324</v>
      </c>
      <c r="F1729" s="13">
        <v>1</v>
      </c>
      <c r="G1729" s="14">
        <v>2961.78</v>
      </c>
      <c r="H1729" s="13">
        <v>196</v>
      </c>
      <c r="I1729" t="s">
        <v>77</v>
      </c>
    </row>
    <row r="1730" spans="1:9" x14ac:dyDescent="0.3">
      <c r="A1730">
        <v>6930</v>
      </c>
      <c r="B1730" t="s">
        <v>1333</v>
      </c>
      <c r="C1730" t="s">
        <v>137</v>
      </c>
      <c r="D1730" t="s">
        <v>64</v>
      </c>
      <c r="E1730" t="s">
        <v>1324</v>
      </c>
      <c r="F1730" s="13">
        <v>2</v>
      </c>
      <c r="G1730" s="14">
        <v>2348.19</v>
      </c>
      <c r="H1730" s="13">
        <v>196</v>
      </c>
      <c r="I1730" t="s">
        <v>77</v>
      </c>
    </row>
    <row r="1731" spans="1:9" x14ac:dyDescent="0.3">
      <c r="A1731">
        <v>123</v>
      </c>
      <c r="B1731" t="s">
        <v>527</v>
      </c>
      <c r="C1731" t="s">
        <v>137</v>
      </c>
      <c r="D1731" t="s">
        <v>64</v>
      </c>
      <c r="E1731" t="s">
        <v>1334</v>
      </c>
      <c r="F1731" s="13">
        <v>2</v>
      </c>
      <c r="G1731" s="14">
        <v>839.21</v>
      </c>
      <c r="H1731" s="13">
        <v>195</v>
      </c>
      <c r="I1731" t="s">
        <v>77</v>
      </c>
    </row>
    <row r="1732" spans="1:9" x14ac:dyDescent="0.3">
      <c r="A1732">
        <v>150</v>
      </c>
      <c r="B1732" t="s">
        <v>264</v>
      </c>
      <c r="C1732" t="s">
        <v>92</v>
      </c>
      <c r="D1732" t="s">
        <v>64</v>
      </c>
      <c r="E1732" t="s">
        <v>1334</v>
      </c>
      <c r="F1732" s="13">
        <v>3</v>
      </c>
      <c r="G1732" s="14">
        <v>4736</v>
      </c>
      <c r="H1732" s="13">
        <v>195</v>
      </c>
      <c r="I1732" t="s">
        <v>77</v>
      </c>
    </row>
    <row r="1733" spans="1:9" x14ac:dyDescent="0.3">
      <c r="A1733">
        <v>1731</v>
      </c>
      <c r="B1733" t="s">
        <v>1335</v>
      </c>
      <c r="C1733" t="s">
        <v>137</v>
      </c>
      <c r="D1733" t="s">
        <v>64</v>
      </c>
      <c r="E1733" t="s">
        <v>1334</v>
      </c>
      <c r="F1733" s="13">
        <v>3</v>
      </c>
      <c r="G1733" s="14">
        <v>8578.26</v>
      </c>
      <c r="H1733" s="13">
        <v>195</v>
      </c>
      <c r="I1733" t="s">
        <v>77</v>
      </c>
    </row>
    <row r="1734" spans="1:9" x14ac:dyDescent="0.3">
      <c r="A1734">
        <v>2166</v>
      </c>
      <c r="B1734" t="s">
        <v>1336</v>
      </c>
      <c r="C1734" t="s">
        <v>92</v>
      </c>
      <c r="D1734" t="s">
        <v>64</v>
      </c>
      <c r="E1734" t="s">
        <v>1334</v>
      </c>
      <c r="F1734" s="13">
        <v>3</v>
      </c>
      <c r="G1734" s="14">
        <v>1256.6600000000001</v>
      </c>
      <c r="H1734" s="13">
        <v>195</v>
      </c>
      <c r="I1734" t="s">
        <v>77</v>
      </c>
    </row>
    <row r="1735" spans="1:9" x14ac:dyDescent="0.3">
      <c r="A1735">
        <v>2780</v>
      </c>
      <c r="B1735" t="s">
        <v>1337</v>
      </c>
      <c r="C1735" t="s">
        <v>121</v>
      </c>
      <c r="D1735" t="s">
        <v>67</v>
      </c>
      <c r="E1735" t="s">
        <v>1334</v>
      </c>
      <c r="F1735" s="13">
        <v>2</v>
      </c>
      <c r="G1735" s="14">
        <v>914.27</v>
      </c>
      <c r="H1735" s="13">
        <v>195</v>
      </c>
      <c r="I1735" t="s">
        <v>77</v>
      </c>
    </row>
    <row r="1736" spans="1:9" x14ac:dyDescent="0.3">
      <c r="A1736">
        <v>3059</v>
      </c>
      <c r="B1736" t="s">
        <v>1338</v>
      </c>
      <c r="C1736" t="s">
        <v>114</v>
      </c>
      <c r="D1736" t="s">
        <v>66</v>
      </c>
      <c r="E1736" t="s">
        <v>1334</v>
      </c>
      <c r="F1736" s="13">
        <v>2</v>
      </c>
      <c r="G1736" s="14">
        <v>6395.26</v>
      </c>
      <c r="H1736" s="13">
        <v>195</v>
      </c>
      <c r="I1736" t="s">
        <v>77</v>
      </c>
    </row>
    <row r="1737" spans="1:9" x14ac:dyDescent="0.3">
      <c r="A1737">
        <v>3469</v>
      </c>
      <c r="B1737" t="s">
        <v>1339</v>
      </c>
      <c r="C1737" t="s">
        <v>473</v>
      </c>
      <c r="D1737" t="s">
        <v>68</v>
      </c>
      <c r="E1737" t="s">
        <v>1334</v>
      </c>
      <c r="F1737" s="13">
        <v>3</v>
      </c>
      <c r="G1737" s="14">
        <v>6716.25</v>
      </c>
      <c r="H1737" s="13">
        <v>195</v>
      </c>
      <c r="I1737" t="s">
        <v>77</v>
      </c>
    </row>
    <row r="1738" spans="1:9" x14ac:dyDescent="0.3">
      <c r="A1738">
        <v>4793</v>
      </c>
      <c r="B1738" t="s">
        <v>414</v>
      </c>
      <c r="C1738" t="s">
        <v>133</v>
      </c>
      <c r="D1738" t="s">
        <v>64</v>
      </c>
      <c r="E1738" t="s">
        <v>1334</v>
      </c>
      <c r="F1738" s="13">
        <v>1</v>
      </c>
      <c r="G1738" s="14">
        <v>293.33999999999997</v>
      </c>
      <c r="H1738" s="13">
        <v>195</v>
      </c>
      <c r="I1738" t="s">
        <v>77</v>
      </c>
    </row>
    <row r="1739" spans="1:9" x14ac:dyDescent="0.3">
      <c r="A1739">
        <v>4923</v>
      </c>
      <c r="B1739" t="s">
        <v>448</v>
      </c>
      <c r="C1739" t="s">
        <v>137</v>
      </c>
      <c r="D1739" t="s">
        <v>64</v>
      </c>
      <c r="E1739" t="s">
        <v>1334</v>
      </c>
      <c r="F1739" s="13">
        <v>1</v>
      </c>
      <c r="G1739" s="14">
        <v>1757.29</v>
      </c>
      <c r="H1739" s="13">
        <v>195</v>
      </c>
      <c r="I1739" t="s">
        <v>77</v>
      </c>
    </row>
    <row r="1740" spans="1:9" x14ac:dyDescent="0.3">
      <c r="A1740">
        <v>5155</v>
      </c>
      <c r="B1740" t="s">
        <v>1340</v>
      </c>
      <c r="C1740" t="s">
        <v>133</v>
      </c>
      <c r="D1740" t="s">
        <v>64</v>
      </c>
      <c r="E1740" t="s">
        <v>1334</v>
      </c>
      <c r="F1740" s="13">
        <v>2</v>
      </c>
      <c r="G1740" s="14">
        <v>9477.43</v>
      </c>
      <c r="H1740" s="13">
        <v>195</v>
      </c>
      <c r="I1740" t="s">
        <v>77</v>
      </c>
    </row>
    <row r="1741" spans="1:9" x14ac:dyDescent="0.3">
      <c r="A1741">
        <v>5758</v>
      </c>
      <c r="B1741" t="s">
        <v>321</v>
      </c>
      <c r="C1741" t="s">
        <v>133</v>
      </c>
      <c r="D1741" t="s">
        <v>64</v>
      </c>
      <c r="E1741" t="s">
        <v>1334</v>
      </c>
      <c r="F1741" s="13">
        <v>2</v>
      </c>
      <c r="G1741" s="14">
        <v>1297.1099999999999</v>
      </c>
      <c r="H1741" s="13">
        <v>195</v>
      </c>
      <c r="I1741" t="s">
        <v>77</v>
      </c>
    </row>
    <row r="1742" spans="1:9" x14ac:dyDescent="0.3">
      <c r="A1742">
        <v>5911</v>
      </c>
      <c r="B1742" t="s">
        <v>277</v>
      </c>
      <c r="C1742" t="s">
        <v>92</v>
      </c>
      <c r="D1742" t="s">
        <v>64</v>
      </c>
      <c r="E1742" t="s">
        <v>1334</v>
      </c>
      <c r="F1742" s="13">
        <v>1</v>
      </c>
      <c r="G1742" s="14">
        <v>2618.02</v>
      </c>
      <c r="H1742" s="13">
        <v>195</v>
      </c>
      <c r="I1742" t="s">
        <v>77</v>
      </c>
    </row>
    <row r="1743" spans="1:9" x14ac:dyDescent="0.3">
      <c r="A1743">
        <v>6212</v>
      </c>
      <c r="B1743" t="s">
        <v>1341</v>
      </c>
      <c r="C1743" t="s">
        <v>137</v>
      </c>
      <c r="D1743" t="s">
        <v>64</v>
      </c>
      <c r="E1743" t="s">
        <v>1334</v>
      </c>
      <c r="F1743" s="13">
        <v>1</v>
      </c>
      <c r="G1743" s="14">
        <v>4833.3900000000003</v>
      </c>
      <c r="H1743" s="13">
        <v>195</v>
      </c>
      <c r="I1743" t="s">
        <v>77</v>
      </c>
    </row>
    <row r="1744" spans="1:9" x14ac:dyDescent="0.3">
      <c r="A1744">
        <v>6748</v>
      </c>
      <c r="B1744" t="s">
        <v>1342</v>
      </c>
      <c r="C1744" t="s">
        <v>92</v>
      </c>
      <c r="D1744" t="s">
        <v>64</v>
      </c>
      <c r="E1744" t="s">
        <v>1334</v>
      </c>
      <c r="F1744" s="13">
        <v>2</v>
      </c>
      <c r="G1744" s="14">
        <v>7040.35</v>
      </c>
      <c r="H1744" s="13">
        <v>195</v>
      </c>
      <c r="I1744" t="s">
        <v>77</v>
      </c>
    </row>
    <row r="1745" spans="1:9" x14ac:dyDescent="0.3">
      <c r="A1745">
        <v>7554</v>
      </c>
      <c r="B1745" t="s">
        <v>1343</v>
      </c>
      <c r="C1745" t="s">
        <v>92</v>
      </c>
      <c r="D1745" t="s">
        <v>64</v>
      </c>
      <c r="E1745" t="s">
        <v>1334</v>
      </c>
      <c r="F1745" s="13">
        <v>2</v>
      </c>
      <c r="G1745" s="14">
        <v>433.11</v>
      </c>
      <c r="H1745" s="13">
        <v>195</v>
      </c>
      <c r="I1745" t="s">
        <v>77</v>
      </c>
    </row>
    <row r="1746" spans="1:9" x14ac:dyDescent="0.3">
      <c r="A1746">
        <v>7683</v>
      </c>
      <c r="B1746" t="s">
        <v>1038</v>
      </c>
      <c r="C1746" t="s">
        <v>137</v>
      </c>
      <c r="D1746" t="s">
        <v>64</v>
      </c>
      <c r="E1746" t="s">
        <v>1334</v>
      </c>
      <c r="F1746" s="13">
        <v>2</v>
      </c>
      <c r="G1746" s="14">
        <v>596.38</v>
      </c>
      <c r="H1746" s="13">
        <v>195</v>
      </c>
      <c r="I1746" t="s">
        <v>77</v>
      </c>
    </row>
    <row r="1747" spans="1:9" x14ac:dyDescent="0.3">
      <c r="A1747">
        <v>8300</v>
      </c>
      <c r="B1747" t="s">
        <v>732</v>
      </c>
      <c r="C1747" t="s">
        <v>92</v>
      </c>
      <c r="D1747" t="s">
        <v>64</v>
      </c>
      <c r="E1747" t="s">
        <v>1334</v>
      </c>
      <c r="F1747" s="13">
        <v>5</v>
      </c>
      <c r="G1747" s="14">
        <v>6835.58</v>
      </c>
      <c r="H1747" s="13">
        <v>195</v>
      </c>
      <c r="I1747" t="s">
        <v>77</v>
      </c>
    </row>
    <row r="1748" spans="1:9" x14ac:dyDescent="0.3">
      <c r="A1748">
        <v>1058</v>
      </c>
      <c r="B1748" t="s">
        <v>1344</v>
      </c>
      <c r="C1748" t="s">
        <v>123</v>
      </c>
      <c r="D1748" t="s">
        <v>65</v>
      </c>
      <c r="E1748" t="s">
        <v>1345</v>
      </c>
      <c r="F1748" s="13">
        <v>2</v>
      </c>
      <c r="G1748" s="14">
        <v>560.26</v>
      </c>
      <c r="H1748" s="13">
        <v>194</v>
      </c>
      <c r="I1748" t="s">
        <v>77</v>
      </c>
    </row>
    <row r="1749" spans="1:9" x14ac:dyDescent="0.3">
      <c r="A1749">
        <v>2370</v>
      </c>
      <c r="B1749" t="s">
        <v>588</v>
      </c>
      <c r="C1749" t="s">
        <v>123</v>
      </c>
      <c r="D1749" t="s">
        <v>65</v>
      </c>
      <c r="E1749" t="s">
        <v>1345</v>
      </c>
      <c r="F1749" s="13">
        <v>1</v>
      </c>
      <c r="G1749" s="14">
        <v>5078.59</v>
      </c>
      <c r="H1749" s="13">
        <v>194</v>
      </c>
      <c r="I1749" t="s">
        <v>77</v>
      </c>
    </row>
    <row r="1750" spans="1:9" x14ac:dyDescent="0.3">
      <c r="A1750">
        <v>2893</v>
      </c>
      <c r="B1750" t="s">
        <v>936</v>
      </c>
      <c r="C1750" t="s">
        <v>123</v>
      </c>
      <c r="D1750" t="s">
        <v>65</v>
      </c>
      <c r="E1750" t="s">
        <v>1345</v>
      </c>
      <c r="F1750" s="13">
        <v>1</v>
      </c>
      <c r="G1750" s="14">
        <v>2732.05</v>
      </c>
      <c r="H1750" s="13">
        <v>194</v>
      </c>
      <c r="I1750" t="s">
        <v>77</v>
      </c>
    </row>
    <row r="1751" spans="1:9" x14ac:dyDescent="0.3">
      <c r="A1751">
        <v>3218</v>
      </c>
      <c r="B1751" t="s">
        <v>116</v>
      </c>
      <c r="C1751" t="s">
        <v>92</v>
      </c>
      <c r="D1751" t="s">
        <v>64</v>
      </c>
      <c r="E1751" t="s">
        <v>1345</v>
      </c>
      <c r="F1751" s="13">
        <v>3</v>
      </c>
      <c r="G1751" s="14">
        <v>12569.83</v>
      </c>
      <c r="H1751" s="13">
        <v>194</v>
      </c>
      <c r="I1751" t="s">
        <v>77</v>
      </c>
    </row>
    <row r="1752" spans="1:9" x14ac:dyDescent="0.3">
      <c r="A1752">
        <v>3710</v>
      </c>
      <c r="B1752" t="s">
        <v>286</v>
      </c>
      <c r="C1752" t="s">
        <v>133</v>
      </c>
      <c r="D1752" t="s">
        <v>64</v>
      </c>
      <c r="E1752" t="s">
        <v>1345</v>
      </c>
      <c r="F1752" s="13">
        <v>1</v>
      </c>
      <c r="G1752" s="14">
        <v>311.36</v>
      </c>
      <c r="H1752" s="13">
        <v>194</v>
      </c>
      <c r="I1752" t="s">
        <v>77</v>
      </c>
    </row>
    <row r="1753" spans="1:9" x14ac:dyDescent="0.3">
      <c r="A1753">
        <v>4024</v>
      </c>
      <c r="B1753" t="s">
        <v>202</v>
      </c>
      <c r="C1753" t="s">
        <v>95</v>
      </c>
      <c r="D1753" t="s">
        <v>65</v>
      </c>
      <c r="E1753" t="s">
        <v>1345</v>
      </c>
      <c r="F1753" s="13">
        <v>2</v>
      </c>
      <c r="G1753" s="14">
        <v>1421.94</v>
      </c>
      <c r="H1753" s="13">
        <v>194</v>
      </c>
      <c r="I1753" t="s">
        <v>77</v>
      </c>
    </row>
    <row r="1754" spans="1:9" x14ac:dyDescent="0.3">
      <c r="A1754">
        <v>5435</v>
      </c>
      <c r="B1754" t="s">
        <v>400</v>
      </c>
      <c r="C1754" t="s">
        <v>133</v>
      </c>
      <c r="D1754" t="s">
        <v>64</v>
      </c>
      <c r="E1754" t="s">
        <v>1345</v>
      </c>
      <c r="F1754" s="13">
        <v>3</v>
      </c>
      <c r="G1754" s="14">
        <v>3700.46</v>
      </c>
      <c r="H1754" s="13">
        <v>194</v>
      </c>
      <c r="I1754" t="s">
        <v>77</v>
      </c>
    </row>
    <row r="1755" spans="1:9" x14ac:dyDescent="0.3">
      <c r="A1755">
        <v>5654</v>
      </c>
      <c r="B1755" t="s">
        <v>756</v>
      </c>
      <c r="C1755" t="s">
        <v>92</v>
      </c>
      <c r="D1755" t="s">
        <v>64</v>
      </c>
      <c r="E1755" t="s">
        <v>1345</v>
      </c>
      <c r="F1755" s="13">
        <v>4</v>
      </c>
      <c r="G1755" s="14">
        <v>7868.99</v>
      </c>
      <c r="H1755" s="13">
        <v>194</v>
      </c>
      <c r="I1755" t="s">
        <v>77</v>
      </c>
    </row>
    <row r="1756" spans="1:9" x14ac:dyDescent="0.3">
      <c r="A1756">
        <v>5865</v>
      </c>
      <c r="B1756" t="s">
        <v>423</v>
      </c>
      <c r="C1756" t="s">
        <v>97</v>
      </c>
      <c r="D1756" t="s">
        <v>65</v>
      </c>
      <c r="E1756" t="s">
        <v>1345</v>
      </c>
      <c r="F1756" s="13">
        <v>1</v>
      </c>
      <c r="G1756" s="14">
        <v>1252.3499999999999</v>
      </c>
      <c r="H1756" s="13">
        <v>194</v>
      </c>
      <c r="I1756" t="s">
        <v>77</v>
      </c>
    </row>
    <row r="1757" spans="1:9" x14ac:dyDescent="0.3">
      <c r="A1757">
        <v>8098</v>
      </c>
      <c r="B1757" t="s">
        <v>1346</v>
      </c>
      <c r="C1757" t="s">
        <v>103</v>
      </c>
      <c r="D1757" t="s">
        <v>67</v>
      </c>
      <c r="E1757" t="s">
        <v>1345</v>
      </c>
      <c r="F1757" s="13">
        <v>2</v>
      </c>
      <c r="G1757" s="14">
        <v>1255.6199999999999</v>
      </c>
      <c r="H1757" s="13">
        <v>194</v>
      </c>
      <c r="I1757" t="s">
        <v>77</v>
      </c>
    </row>
    <row r="1758" spans="1:9" x14ac:dyDescent="0.3">
      <c r="A1758">
        <v>1860</v>
      </c>
      <c r="B1758" t="s">
        <v>592</v>
      </c>
      <c r="C1758" t="s">
        <v>137</v>
      </c>
      <c r="D1758" t="s">
        <v>64</v>
      </c>
      <c r="E1758" t="s">
        <v>1347</v>
      </c>
      <c r="F1758" s="13">
        <v>2</v>
      </c>
      <c r="G1758" s="14">
        <v>8025.13</v>
      </c>
      <c r="H1758" s="13">
        <v>193</v>
      </c>
      <c r="I1758" t="s">
        <v>77</v>
      </c>
    </row>
    <row r="1759" spans="1:9" x14ac:dyDescent="0.3">
      <c r="A1759">
        <v>2590</v>
      </c>
      <c r="B1759" t="s">
        <v>1062</v>
      </c>
      <c r="C1759" t="s">
        <v>97</v>
      </c>
      <c r="D1759" t="s">
        <v>65</v>
      </c>
      <c r="E1759" t="s">
        <v>1347</v>
      </c>
      <c r="F1759" s="13">
        <v>4</v>
      </c>
      <c r="G1759" s="14">
        <v>1406.57</v>
      </c>
      <c r="H1759" s="13">
        <v>193</v>
      </c>
      <c r="I1759" t="s">
        <v>77</v>
      </c>
    </row>
    <row r="1760" spans="1:9" x14ac:dyDescent="0.3">
      <c r="A1760">
        <v>4246</v>
      </c>
      <c r="B1760" t="s">
        <v>1348</v>
      </c>
      <c r="C1760" t="s">
        <v>95</v>
      </c>
      <c r="D1760" t="s">
        <v>65</v>
      </c>
      <c r="E1760" t="s">
        <v>1347</v>
      </c>
      <c r="F1760" s="13">
        <v>1</v>
      </c>
      <c r="G1760" s="14">
        <v>822.5</v>
      </c>
      <c r="H1760" s="13">
        <v>193</v>
      </c>
      <c r="I1760" t="s">
        <v>77</v>
      </c>
    </row>
    <row r="1761" spans="1:9" x14ac:dyDescent="0.3">
      <c r="A1761">
        <v>4525</v>
      </c>
      <c r="B1761" t="s">
        <v>792</v>
      </c>
      <c r="C1761" t="s">
        <v>90</v>
      </c>
      <c r="D1761" t="s">
        <v>66</v>
      </c>
      <c r="E1761" t="s">
        <v>1347</v>
      </c>
      <c r="F1761" s="13">
        <v>2</v>
      </c>
      <c r="G1761" s="14">
        <v>5528.03</v>
      </c>
      <c r="H1761" s="13">
        <v>193</v>
      </c>
      <c r="I1761" t="s">
        <v>77</v>
      </c>
    </row>
    <row r="1762" spans="1:9" x14ac:dyDescent="0.3">
      <c r="A1762">
        <v>4761</v>
      </c>
      <c r="B1762" t="s">
        <v>1349</v>
      </c>
      <c r="C1762" t="s">
        <v>137</v>
      </c>
      <c r="D1762" t="s">
        <v>64</v>
      </c>
      <c r="E1762" t="s">
        <v>1347</v>
      </c>
      <c r="F1762" s="13">
        <v>5</v>
      </c>
      <c r="G1762" s="14">
        <v>8551.2099999999991</v>
      </c>
      <c r="H1762" s="13">
        <v>193</v>
      </c>
      <c r="I1762" t="s">
        <v>77</v>
      </c>
    </row>
    <row r="1763" spans="1:9" x14ac:dyDescent="0.3">
      <c r="A1763">
        <v>4872</v>
      </c>
      <c r="B1763" t="s">
        <v>1350</v>
      </c>
      <c r="C1763" t="s">
        <v>87</v>
      </c>
      <c r="D1763" t="s">
        <v>64</v>
      </c>
      <c r="E1763" t="s">
        <v>1347</v>
      </c>
      <c r="F1763" s="13">
        <v>3</v>
      </c>
      <c r="G1763" s="14">
        <v>10470.719999999999</v>
      </c>
      <c r="H1763" s="13">
        <v>193</v>
      </c>
      <c r="I1763" t="s">
        <v>77</v>
      </c>
    </row>
    <row r="1764" spans="1:9" x14ac:dyDescent="0.3">
      <c r="A1764">
        <v>7051</v>
      </c>
      <c r="B1764" t="s">
        <v>348</v>
      </c>
      <c r="C1764" t="s">
        <v>97</v>
      </c>
      <c r="D1764" t="s">
        <v>65</v>
      </c>
      <c r="E1764" t="s">
        <v>1347</v>
      </c>
      <c r="F1764" s="13">
        <v>3</v>
      </c>
      <c r="G1764" s="14">
        <v>8233.66</v>
      </c>
      <c r="H1764" s="13">
        <v>193</v>
      </c>
      <c r="I1764" t="s">
        <v>77</v>
      </c>
    </row>
    <row r="1765" spans="1:9" x14ac:dyDescent="0.3">
      <c r="A1765">
        <v>7249</v>
      </c>
      <c r="B1765" t="s">
        <v>760</v>
      </c>
      <c r="C1765" t="s">
        <v>123</v>
      </c>
      <c r="D1765" t="s">
        <v>65</v>
      </c>
      <c r="E1765" t="s">
        <v>1347</v>
      </c>
      <c r="F1765" s="13">
        <v>2</v>
      </c>
      <c r="G1765" s="14">
        <v>3904.88</v>
      </c>
      <c r="H1765" s="13">
        <v>193</v>
      </c>
      <c r="I1765" t="s">
        <v>77</v>
      </c>
    </row>
    <row r="1766" spans="1:9" x14ac:dyDescent="0.3">
      <c r="A1766">
        <v>8923</v>
      </c>
      <c r="B1766" t="s">
        <v>1351</v>
      </c>
      <c r="C1766" t="s">
        <v>92</v>
      </c>
      <c r="D1766" t="s">
        <v>64</v>
      </c>
      <c r="E1766" t="s">
        <v>1347</v>
      </c>
      <c r="F1766" s="13">
        <v>2</v>
      </c>
      <c r="G1766" s="14">
        <v>481.63</v>
      </c>
      <c r="H1766" s="13">
        <v>193</v>
      </c>
      <c r="I1766" t="s">
        <v>77</v>
      </c>
    </row>
    <row r="1767" spans="1:9" x14ac:dyDescent="0.3">
      <c r="A1767">
        <v>66</v>
      </c>
      <c r="B1767" t="s">
        <v>277</v>
      </c>
      <c r="C1767" t="s">
        <v>133</v>
      </c>
      <c r="D1767" t="s">
        <v>64</v>
      </c>
      <c r="E1767" t="s">
        <v>1352</v>
      </c>
      <c r="F1767" s="13">
        <v>12</v>
      </c>
      <c r="G1767" s="14">
        <v>31120.91</v>
      </c>
      <c r="H1767" s="13">
        <v>192</v>
      </c>
      <c r="I1767" t="s">
        <v>77</v>
      </c>
    </row>
    <row r="1768" spans="1:9" x14ac:dyDescent="0.3">
      <c r="A1768">
        <v>721</v>
      </c>
      <c r="B1768" t="s">
        <v>751</v>
      </c>
      <c r="C1768" t="s">
        <v>87</v>
      </c>
      <c r="D1768" t="s">
        <v>64</v>
      </c>
      <c r="E1768" t="s">
        <v>1352</v>
      </c>
      <c r="F1768" s="13">
        <v>2</v>
      </c>
      <c r="G1768" s="14">
        <v>5530.39</v>
      </c>
      <c r="H1768" s="13">
        <v>192</v>
      </c>
      <c r="I1768" t="s">
        <v>77</v>
      </c>
    </row>
    <row r="1769" spans="1:9" x14ac:dyDescent="0.3">
      <c r="A1769">
        <v>2670</v>
      </c>
      <c r="B1769" t="s">
        <v>1353</v>
      </c>
      <c r="C1769" t="s">
        <v>90</v>
      </c>
      <c r="D1769" t="s">
        <v>66</v>
      </c>
      <c r="E1769" t="s">
        <v>1352</v>
      </c>
      <c r="F1769" s="13">
        <v>1</v>
      </c>
      <c r="G1769" s="14">
        <v>3715.2</v>
      </c>
      <c r="H1769" s="13">
        <v>192</v>
      </c>
      <c r="I1769" t="s">
        <v>77</v>
      </c>
    </row>
    <row r="1770" spans="1:9" x14ac:dyDescent="0.3">
      <c r="A1770">
        <v>2796</v>
      </c>
      <c r="B1770" t="s">
        <v>1354</v>
      </c>
      <c r="C1770" t="s">
        <v>92</v>
      </c>
      <c r="D1770" t="s">
        <v>64</v>
      </c>
      <c r="E1770" t="s">
        <v>1352</v>
      </c>
      <c r="F1770" s="13">
        <v>3</v>
      </c>
      <c r="G1770" s="14">
        <v>5831.44</v>
      </c>
      <c r="H1770" s="13">
        <v>192</v>
      </c>
      <c r="I1770" t="s">
        <v>77</v>
      </c>
    </row>
    <row r="1771" spans="1:9" x14ac:dyDescent="0.3">
      <c r="A1771">
        <v>4937</v>
      </c>
      <c r="B1771" t="s">
        <v>1355</v>
      </c>
      <c r="C1771" t="s">
        <v>92</v>
      </c>
      <c r="D1771" t="s">
        <v>64</v>
      </c>
      <c r="E1771" t="s">
        <v>1352</v>
      </c>
      <c r="F1771" s="13">
        <v>1</v>
      </c>
      <c r="G1771" s="14">
        <v>119.22</v>
      </c>
      <c r="H1771" s="13">
        <v>192</v>
      </c>
      <c r="I1771" t="s">
        <v>77</v>
      </c>
    </row>
    <row r="1772" spans="1:9" x14ac:dyDescent="0.3">
      <c r="A1772">
        <v>5385</v>
      </c>
      <c r="B1772" t="s">
        <v>1356</v>
      </c>
      <c r="C1772" t="s">
        <v>114</v>
      </c>
      <c r="D1772" t="s">
        <v>66</v>
      </c>
      <c r="E1772" t="s">
        <v>1352</v>
      </c>
      <c r="F1772" s="13">
        <v>1</v>
      </c>
      <c r="G1772" s="14">
        <v>449.32</v>
      </c>
      <c r="H1772" s="13">
        <v>192</v>
      </c>
      <c r="I1772" t="s">
        <v>77</v>
      </c>
    </row>
    <row r="1773" spans="1:9" x14ac:dyDescent="0.3">
      <c r="A1773">
        <v>7099</v>
      </c>
      <c r="B1773" t="s">
        <v>1357</v>
      </c>
      <c r="C1773" t="s">
        <v>92</v>
      </c>
      <c r="D1773" t="s">
        <v>64</v>
      </c>
      <c r="E1773" t="s">
        <v>1352</v>
      </c>
      <c r="F1773" s="13">
        <v>1</v>
      </c>
      <c r="G1773" s="14">
        <v>6608.67</v>
      </c>
      <c r="H1773" s="13">
        <v>192</v>
      </c>
      <c r="I1773" t="s">
        <v>77</v>
      </c>
    </row>
    <row r="1774" spans="1:9" x14ac:dyDescent="0.3">
      <c r="A1774">
        <v>7265</v>
      </c>
      <c r="B1774" t="s">
        <v>1358</v>
      </c>
      <c r="C1774" t="s">
        <v>114</v>
      </c>
      <c r="D1774" t="s">
        <v>66</v>
      </c>
      <c r="E1774" t="s">
        <v>1352</v>
      </c>
      <c r="F1774" s="13">
        <v>5</v>
      </c>
      <c r="G1774" s="14">
        <v>15735.84</v>
      </c>
      <c r="H1774" s="13">
        <v>192</v>
      </c>
      <c r="I1774" t="s">
        <v>77</v>
      </c>
    </row>
    <row r="1775" spans="1:9" x14ac:dyDescent="0.3">
      <c r="A1775">
        <v>733</v>
      </c>
      <c r="B1775" t="s">
        <v>1359</v>
      </c>
      <c r="C1775" t="s">
        <v>156</v>
      </c>
      <c r="D1775" t="s">
        <v>68</v>
      </c>
      <c r="E1775" t="s">
        <v>1360</v>
      </c>
      <c r="F1775" s="13">
        <v>2</v>
      </c>
      <c r="G1775" s="14">
        <v>9137.17</v>
      </c>
      <c r="H1775" s="13">
        <v>191</v>
      </c>
      <c r="I1775" t="s">
        <v>77</v>
      </c>
    </row>
    <row r="1776" spans="1:9" x14ac:dyDescent="0.3">
      <c r="A1776">
        <v>1887</v>
      </c>
      <c r="B1776" t="s">
        <v>1050</v>
      </c>
      <c r="C1776" t="s">
        <v>137</v>
      </c>
      <c r="D1776" t="s">
        <v>64</v>
      </c>
      <c r="E1776" t="s">
        <v>1360</v>
      </c>
      <c r="F1776" s="13">
        <v>5</v>
      </c>
      <c r="G1776" s="14">
        <v>9968.14</v>
      </c>
      <c r="H1776" s="13">
        <v>191</v>
      </c>
      <c r="I1776" t="s">
        <v>77</v>
      </c>
    </row>
    <row r="1777" spans="1:9" x14ac:dyDescent="0.3">
      <c r="A1777">
        <v>2703</v>
      </c>
      <c r="B1777" t="s">
        <v>1361</v>
      </c>
      <c r="C1777" t="s">
        <v>473</v>
      </c>
      <c r="D1777" t="s">
        <v>68</v>
      </c>
      <c r="E1777" t="s">
        <v>1360</v>
      </c>
      <c r="F1777" s="13">
        <v>1</v>
      </c>
      <c r="G1777" s="14">
        <v>1612.98</v>
      </c>
      <c r="H1777" s="13">
        <v>191</v>
      </c>
      <c r="I1777" t="s">
        <v>77</v>
      </c>
    </row>
    <row r="1778" spans="1:9" x14ac:dyDescent="0.3">
      <c r="A1778">
        <v>2756</v>
      </c>
      <c r="B1778" t="s">
        <v>453</v>
      </c>
      <c r="C1778" t="s">
        <v>249</v>
      </c>
      <c r="D1778" t="s">
        <v>67</v>
      </c>
      <c r="E1778" t="s">
        <v>1360</v>
      </c>
      <c r="F1778" s="13">
        <v>2</v>
      </c>
      <c r="G1778" s="14">
        <v>1784.12</v>
      </c>
      <c r="H1778" s="13">
        <v>191</v>
      </c>
      <c r="I1778" t="s">
        <v>77</v>
      </c>
    </row>
    <row r="1779" spans="1:9" x14ac:dyDescent="0.3">
      <c r="A1779">
        <v>3111</v>
      </c>
      <c r="B1779" t="s">
        <v>1362</v>
      </c>
      <c r="C1779" t="s">
        <v>114</v>
      </c>
      <c r="D1779" t="s">
        <v>66</v>
      </c>
      <c r="E1779" t="s">
        <v>1360</v>
      </c>
      <c r="F1779" s="13">
        <v>3</v>
      </c>
      <c r="G1779" s="14">
        <v>3726.01</v>
      </c>
      <c r="H1779" s="13">
        <v>191</v>
      </c>
      <c r="I1779" t="s">
        <v>77</v>
      </c>
    </row>
    <row r="1780" spans="1:9" x14ac:dyDescent="0.3">
      <c r="A1780">
        <v>4148</v>
      </c>
      <c r="B1780" t="s">
        <v>706</v>
      </c>
      <c r="C1780" t="s">
        <v>95</v>
      </c>
      <c r="D1780" t="s">
        <v>65</v>
      </c>
      <c r="E1780" t="s">
        <v>1360</v>
      </c>
      <c r="F1780" s="13">
        <v>6</v>
      </c>
      <c r="G1780" s="14">
        <v>21375.29</v>
      </c>
      <c r="H1780" s="13">
        <v>191</v>
      </c>
      <c r="I1780" t="s">
        <v>77</v>
      </c>
    </row>
    <row r="1781" spans="1:9" x14ac:dyDescent="0.3">
      <c r="A1781">
        <v>4227</v>
      </c>
      <c r="B1781" t="s">
        <v>175</v>
      </c>
      <c r="C1781" t="s">
        <v>100</v>
      </c>
      <c r="D1781" t="s">
        <v>66</v>
      </c>
      <c r="E1781" t="s">
        <v>1360</v>
      </c>
      <c r="F1781" s="13">
        <v>1</v>
      </c>
      <c r="G1781" s="14">
        <v>251.85</v>
      </c>
      <c r="H1781" s="13">
        <v>191</v>
      </c>
      <c r="I1781" t="s">
        <v>77</v>
      </c>
    </row>
    <row r="1782" spans="1:9" x14ac:dyDescent="0.3">
      <c r="A1782">
        <v>4286</v>
      </c>
      <c r="B1782" t="s">
        <v>311</v>
      </c>
      <c r="C1782" t="s">
        <v>92</v>
      </c>
      <c r="D1782" t="s">
        <v>64</v>
      </c>
      <c r="E1782" t="s">
        <v>1360</v>
      </c>
      <c r="F1782" s="13">
        <v>2</v>
      </c>
      <c r="G1782" s="14">
        <v>2083.77</v>
      </c>
      <c r="H1782" s="13">
        <v>191</v>
      </c>
      <c r="I1782" t="s">
        <v>77</v>
      </c>
    </row>
    <row r="1783" spans="1:9" x14ac:dyDescent="0.3">
      <c r="A1783">
        <v>5294</v>
      </c>
      <c r="B1783" t="s">
        <v>1363</v>
      </c>
      <c r="C1783" t="s">
        <v>133</v>
      </c>
      <c r="D1783" t="s">
        <v>64</v>
      </c>
      <c r="E1783" t="s">
        <v>1360</v>
      </c>
      <c r="F1783" s="13">
        <v>2</v>
      </c>
      <c r="G1783" s="14">
        <v>2224.7199999999998</v>
      </c>
      <c r="H1783" s="13">
        <v>191</v>
      </c>
      <c r="I1783" t="s">
        <v>77</v>
      </c>
    </row>
    <row r="1784" spans="1:9" x14ac:dyDescent="0.3">
      <c r="A1784">
        <v>5359</v>
      </c>
      <c r="B1784" t="s">
        <v>1364</v>
      </c>
      <c r="C1784" t="s">
        <v>123</v>
      </c>
      <c r="D1784" t="s">
        <v>65</v>
      </c>
      <c r="E1784" t="s">
        <v>1360</v>
      </c>
      <c r="F1784" s="13">
        <v>1</v>
      </c>
      <c r="G1784" s="14">
        <v>3901.43</v>
      </c>
      <c r="H1784" s="13">
        <v>191</v>
      </c>
      <c r="I1784" t="s">
        <v>77</v>
      </c>
    </row>
    <row r="1785" spans="1:9" x14ac:dyDescent="0.3">
      <c r="A1785">
        <v>5667</v>
      </c>
      <c r="B1785" t="s">
        <v>346</v>
      </c>
      <c r="C1785" t="s">
        <v>95</v>
      </c>
      <c r="D1785" t="s">
        <v>65</v>
      </c>
      <c r="E1785" t="s">
        <v>1360</v>
      </c>
      <c r="F1785" s="13">
        <v>3</v>
      </c>
      <c r="G1785" s="14">
        <v>1746.47</v>
      </c>
      <c r="H1785" s="13">
        <v>191</v>
      </c>
      <c r="I1785" t="s">
        <v>77</v>
      </c>
    </row>
    <row r="1786" spans="1:9" x14ac:dyDescent="0.3">
      <c r="A1786">
        <v>7433</v>
      </c>
      <c r="B1786" t="s">
        <v>514</v>
      </c>
      <c r="C1786" t="s">
        <v>100</v>
      </c>
      <c r="D1786" t="s">
        <v>66</v>
      </c>
      <c r="E1786" t="s">
        <v>1360</v>
      </c>
      <c r="F1786" s="13">
        <v>1</v>
      </c>
      <c r="G1786" s="14">
        <v>1296.81</v>
      </c>
      <c r="H1786" s="13">
        <v>191</v>
      </c>
      <c r="I1786" t="s">
        <v>77</v>
      </c>
    </row>
    <row r="1787" spans="1:9" x14ac:dyDescent="0.3">
      <c r="A1787">
        <v>8938</v>
      </c>
      <c r="B1787" t="s">
        <v>1365</v>
      </c>
      <c r="C1787" t="s">
        <v>97</v>
      </c>
      <c r="D1787" t="s">
        <v>65</v>
      </c>
      <c r="E1787" t="s">
        <v>1360</v>
      </c>
      <c r="F1787" s="13">
        <v>1</v>
      </c>
      <c r="G1787" s="14">
        <v>2240.15</v>
      </c>
      <c r="H1787" s="13">
        <v>191</v>
      </c>
      <c r="I1787" t="s">
        <v>77</v>
      </c>
    </row>
    <row r="1788" spans="1:9" x14ac:dyDescent="0.3">
      <c r="A1788">
        <v>582</v>
      </c>
      <c r="B1788" t="s">
        <v>204</v>
      </c>
      <c r="C1788" t="s">
        <v>92</v>
      </c>
      <c r="D1788" t="s">
        <v>64</v>
      </c>
      <c r="E1788" t="s">
        <v>1366</v>
      </c>
      <c r="F1788" s="13">
        <v>1</v>
      </c>
      <c r="G1788" s="14">
        <v>710.09</v>
      </c>
      <c r="H1788" s="13">
        <v>190</v>
      </c>
      <c r="I1788" t="s">
        <v>77</v>
      </c>
    </row>
    <row r="1789" spans="1:9" x14ac:dyDescent="0.3">
      <c r="A1789">
        <v>766</v>
      </c>
      <c r="B1789" t="s">
        <v>438</v>
      </c>
      <c r="C1789" t="s">
        <v>114</v>
      </c>
      <c r="D1789" t="s">
        <v>66</v>
      </c>
      <c r="E1789" t="s">
        <v>1366</v>
      </c>
      <c r="F1789" s="13">
        <v>1</v>
      </c>
      <c r="G1789" s="14">
        <v>2306.15</v>
      </c>
      <c r="H1789" s="13">
        <v>190</v>
      </c>
      <c r="I1789" t="s">
        <v>77</v>
      </c>
    </row>
    <row r="1790" spans="1:9" x14ac:dyDescent="0.3">
      <c r="A1790">
        <v>1755</v>
      </c>
      <c r="B1790" t="s">
        <v>559</v>
      </c>
      <c r="C1790" t="s">
        <v>92</v>
      </c>
      <c r="D1790" t="s">
        <v>64</v>
      </c>
      <c r="E1790" t="s">
        <v>1366</v>
      </c>
      <c r="F1790" s="13">
        <v>1</v>
      </c>
      <c r="G1790" s="14">
        <v>1419.35</v>
      </c>
      <c r="H1790" s="13">
        <v>190</v>
      </c>
      <c r="I1790" t="s">
        <v>77</v>
      </c>
    </row>
    <row r="1791" spans="1:9" x14ac:dyDescent="0.3">
      <c r="A1791">
        <v>2377</v>
      </c>
      <c r="B1791" t="s">
        <v>382</v>
      </c>
      <c r="C1791" t="s">
        <v>133</v>
      </c>
      <c r="D1791" t="s">
        <v>64</v>
      </c>
      <c r="E1791" t="s">
        <v>1366</v>
      </c>
      <c r="F1791" s="13">
        <v>2</v>
      </c>
      <c r="G1791" s="14">
        <v>482.01</v>
      </c>
      <c r="H1791" s="13">
        <v>190</v>
      </c>
      <c r="I1791" t="s">
        <v>77</v>
      </c>
    </row>
    <row r="1792" spans="1:9" x14ac:dyDescent="0.3">
      <c r="A1792">
        <v>4649</v>
      </c>
      <c r="B1792" t="s">
        <v>1367</v>
      </c>
      <c r="C1792" t="s">
        <v>92</v>
      </c>
      <c r="D1792" t="s">
        <v>64</v>
      </c>
      <c r="E1792" t="s">
        <v>1366</v>
      </c>
      <c r="F1792" s="13">
        <v>3</v>
      </c>
      <c r="G1792" s="14">
        <v>4014.07</v>
      </c>
      <c r="H1792" s="13">
        <v>190</v>
      </c>
      <c r="I1792" t="s">
        <v>77</v>
      </c>
    </row>
    <row r="1793" spans="1:9" x14ac:dyDescent="0.3">
      <c r="A1793">
        <v>5676</v>
      </c>
      <c r="B1793" t="s">
        <v>1368</v>
      </c>
      <c r="C1793" t="s">
        <v>92</v>
      </c>
      <c r="D1793" t="s">
        <v>64</v>
      </c>
      <c r="E1793" t="s">
        <v>1366</v>
      </c>
      <c r="F1793" s="13">
        <v>1</v>
      </c>
      <c r="G1793" s="14">
        <v>1864.01</v>
      </c>
      <c r="H1793" s="13">
        <v>190</v>
      </c>
      <c r="I1793" t="s">
        <v>77</v>
      </c>
    </row>
    <row r="1794" spans="1:9" x14ac:dyDescent="0.3">
      <c r="A1794">
        <v>6985</v>
      </c>
      <c r="B1794" t="s">
        <v>987</v>
      </c>
      <c r="C1794" t="s">
        <v>137</v>
      </c>
      <c r="D1794" t="s">
        <v>64</v>
      </c>
      <c r="E1794" t="s">
        <v>1366</v>
      </c>
      <c r="F1794" s="13">
        <v>1</v>
      </c>
      <c r="G1794" s="14">
        <v>72.89</v>
      </c>
      <c r="H1794" s="13">
        <v>190</v>
      </c>
      <c r="I1794" t="s">
        <v>77</v>
      </c>
    </row>
    <row r="1795" spans="1:9" x14ac:dyDescent="0.3">
      <c r="A1795">
        <v>7157</v>
      </c>
      <c r="B1795" t="s">
        <v>509</v>
      </c>
      <c r="C1795" t="s">
        <v>92</v>
      </c>
      <c r="D1795" t="s">
        <v>64</v>
      </c>
      <c r="E1795" t="s">
        <v>1366</v>
      </c>
      <c r="F1795" s="13">
        <v>4</v>
      </c>
      <c r="G1795" s="14">
        <v>4098.78</v>
      </c>
      <c r="H1795" s="13">
        <v>190</v>
      </c>
      <c r="I1795" t="s">
        <v>77</v>
      </c>
    </row>
    <row r="1796" spans="1:9" x14ac:dyDescent="0.3">
      <c r="A1796">
        <v>8647</v>
      </c>
      <c r="B1796" t="s">
        <v>1369</v>
      </c>
      <c r="C1796" t="s">
        <v>92</v>
      </c>
      <c r="D1796" t="s">
        <v>64</v>
      </c>
      <c r="E1796" t="s">
        <v>1366</v>
      </c>
      <c r="F1796" s="13">
        <v>2</v>
      </c>
      <c r="G1796" s="14">
        <v>608.22</v>
      </c>
      <c r="H1796" s="13">
        <v>190</v>
      </c>
      <c r="I1796" t="s">
        <v>77</v>
      </c>
    </row>
    <row r="1797" spans="1:9" x14ac:dyDescent="0.3">
      <c r="A1797">
        <v>3089</v>
      </c>
      <c r="B1797" t="s">
        <v>293</v>
      </c>
      <c r="C1797" t="s">
        <v>137</v>
      </c>
      <c r="D1797" t="s">
        <v>64</v>
      </c>
      <c r="E1797" t="s">
        <v>1370</v>
      </c>
      <c r="F1797" s="13">
        <v>2</v>
      </c>
      <c r="G1797" s="14">
        <v>6590.27</v>
      </c>
      <c r="H1797" s="13">
        <v>189</v>
      </c>
      <c r="I1797" t="s">
        <v>77</v>
      </c>
    </row>
    <row r="1798" spans="1:9" x14ac:dyDescent="0.3">
      <c r="A1798">
        <v>3563</v>
      </c>
      <c r="B1798" t="s">
        <v>153</v>
      </c>
      <c r="C1798" t="s">
        <v>133</v>
      </c>
      <c r="D1798" t="s">
        <v>64</v>
      </c>
      <c r="E1798" t="s">
        <v>1370</v>
      </c>
      <c r="F1798" s="13">
        <v>2</v>
      </c>
      <c r="G1798" s="14">
        <v>1167.23</v>
      </c>
      <c r="H1798" s="13">
        <v>189</v>
      </c>
      <c r="I1798" t="s">
        <v>77</v>
      </c>
    </row>
    <row r="1799" spans="1:9" x14ac:dyDescent="0.3">
      <c r="A1799">
        <v>3883</v>
      </c>
      <c r="B1799" t="s">
        <v>253</v>
      </c>
      <c r="C1799" t="s">
        <v>114</v>
      </c>
      <c r="D1799" t="s">
        <v>66</v>
      </c>
      <c r="E1799" t="s">
        <v>1370</v>
      </c>
      <c r="F1799" s="13">
        <v>1</v>
      </c>
      <c r="G1799" s="14">
        <v>3184.7</v>
      </c>
      <c r="H1799" s="13">
        <v>189</v>
      </c>
      <c r="I1799" t="s">
        <v>77</v>
      </c>
    </row>
    <row r="1800" spans="1:9" x14ac:dyDescent="0.3">
      <c r="A1800">
        <v>4638</v>
      </c>
      <c r="B1800" t="s">
        <v>327</v>
      </c>
      <c r="C1800" t="s">
        <v>92</v>
      </c>
      <c r="D1800" t="s">
        <v>64</v>
      </c>
      <c r="E1800" t="s">
        <v>1370</v>
      </c>
      <c r="F1800" s="13">
        <v>2</v>
      </c>
      <c r="G1800" s="14">
        <v>2305.5</v>
      </c>
      <c r="H1800" s="13">
        <v>189</v>
      </c>
      <c r="I1800" t="s">
        <v>77</v>
      </c>
    </row>
    <row r="1801" spans="1:9" x14ac:dyDescent="0.3">
      <c r="A1801">
        <v>4895</v>
      </c>
      <c r="B1801" t="s">
        <v>205</v>
      </c>
      <c r="C1801" t="s">
        <v>97</v>
      </c>
      <c r="D1801" t="s">
        <v>65</v>
      </c>
      <c r="E1801" t="s">
        <v>1370</v>
      </c>
      <c r="F1801" s="13">
        <v>1</v>
      </c>
      <c r="G1801" s="14">
        <v>1168.1300000000001</v>
      </c>
      <c r="H1801" s="13">
        <v>189</v>
      </c>
      <c r="I1801" t="s">
        <v>77</v>
      </c>
    </row>
    <row r="1802" spans="1:9" x14ac:dyDescent="0.3">
      <c r="A1802">
        <v>5180</v>
      </c>
      <c r="B1802" t="s">
        <v>358</v>
      </c>
      <c r="C1802" t="s">
        <v>95</v>
      </c>
      <c r="D1802" t="s">
        <v>65</v>
      </c>
      <c r="E1802" t="s">
        <v>1370</v>
      </c>
      <c r="F1802" s="13">
        <v>3</v>
      </c>
      <c r="G1802" s="14">
        <v>2424.7199999999998</v>
      </c>
      <c r="H1802" s="13">
        <v>189</v>
      </c>
      <c r="I1802" t="s">
        <v>77</v>
      </c>
    </row>
    <row r="1803" spans="1:9" x14ac:dyDescent="0.3">
      <c r="A1803">
        <v>5188</v>
      </c>
      <c r="B1803" t="s">
        <v>1371</v>
      </c>
      <c r="C1803" t="s">
        <v>92</v>
      </c>
      <c r="D1803" t="s">
        <v>64</v>
      </c>
      <c r="E1803" t="s">
        <v>1370</v>
      </c>
      <c r="F1803" s="13">
        <v>1</v>
      </c>
      <c r="G1803" s="14">
        <v>1024.53</v>
      </c>
      <c r="H1803" s="13">
        <v>189</v>
      </c>
      <c r="I1803" t="s">
        <v>77</v>
      </c>
    </row>
    <row r="1804" spans="1:9" x14ac:dyDescent="0.3">
      <c r="A1804">
        <v>5231</v>
      </c>
      <c r="B1804" t="s">
        <v>396</v>
      </c>
      <c r="C1804" t="s">
        <v>92</v>
      </c>
      <c r="D1804" t="s">
        <v>64</v>
      </c>
      <c r="E1804" t="s">
        <v>1370</v>
      </c>
      <c r="F1804" s="13">
        <v>3</v>
      </c>
      <c r="G1804" s="14">
        <v>1078.04</v>
      </c>
      <c r="H1804" s="13">
        <v>189</v>
      </c>
      <c r="I1804" t="s">
        <v>77</v>
      </c>
    </row>
    <row r="1805" spans="1:9" x14ac:dyDescent="0.3">
      <c r="A1805">
        <v>5934</v>
      </c>
      <c r="B1805" t="s">
        <v>113</v>
      </c>
      <c r="C1805" t="s">
        <v>133</v>
      </c>
      <c r="D1805" t="s">
        <v>64</v>
      </c>
      <c r="E1805" t="s">
        <v>1370</v>
      </c>
      <c r="F1805" s="13">
        <v>2</v>
      </c>
      <c r="G1805" s="14">
        <v>2640.8</v>
      </c>
      <c r="H1805" s="13">
        <v>189</v>
      </c>
      <c r="I1805" t="s">
        <v>77</v>
      </c>
    </row>
    <row r="1806" spans="1:9" x14ac:dyDescent="0.3">
      <c r="A1806">
        <v>6035</v>
      </c>
      <c r="B1806" t="s">
        <v>342</v>
      </c>
      <c r="C1806" t="s">
        <v>100</v>
      </c>
      <c r="D1806" t="s">
        <v>66</v>
      </c>
      <c r="E1806" t="s">
        <v>1370</v>
      </c>
      <c r="F1806" s="13">
        <v>1</v>
      </c>
      <c r="G1806" s="14">
        <v>722.86</v>
      </c>
      <c r="H1806" s="13">
        <v>189</v>
      </c>
      <c r="I1806" t="s">
        <v>77</v>
      </c>
    </row>
    <row r="1807" spans="1:9" x14ac:dyDescent="0.3">
      <c r="A1807">
        <v>6758</v>
      </c>
      <c r="B1807" t="s">
        <v>182</v>
      </c>
      <c r="C1807" t="s">
        <v>92</v>
      </c>
      <c r="D1807" t="s">
        <v>64</v>
      </c>
      <c r="E1807" t="s">
        <v>1370</v>
      </c>
      <c r="F1807" s="13">
        <v>3</v>
      </c>
      <c r="G1807" s="14">
        <v>6889.05</v>
      </c>
      <c r="H1807" s="13">
        <v>189</v>
      </c>
      <c r="I1807" t="s">
        <v>77</v>
      </c>
    </row>
    <row r="1808" spans="1:9" x14ac:dyDescent="0.3">
      <c r="A1808">
        <v>8289</v>
      </c>
      <c r="B1808" t="s">
        <v>723</v>
      </c>
      <c r="C1808" t="s">
        <v>90</v>
      </c>
      <c r="D1808" t="s">
        <v>66</v>
      </c>
      <c r="E1808" t="s">
        <v>1370</v>
      </c>
      <c r="F1808" s="13">
        <v>3</v>
      </c>
      <c r="G1808" s="14">
        <v>3344.4</v>
      </c>
      <c r="H1808" s="13">
        <v>189</v>
      </c>
      <c r="I1808" t="s">
        <v>77</v>
      </c>
    </row>
    <row r="1809" spans="1:9" x14ac:dyDescent="0.3">
      <c r="A1809">
        <v>8492</v>
      </c>
      <c r="B1809" t="s">
        <v>1214</v>
      </c>
      <c r="C1809" t="s">
        <v>123</v>
      </c>
      <c r="D1809" t="s">
        <v>65</v>
      </c>
      <c r="E1809" t="s">
        <v>1370</v>
      </c>
      <c r="F1809" s="13">
        <v>1</v>
      </c>
      <c r="G1809" s="14">
        <v>3280.74</v>
      </c>
      <c r="H1809" s="13">
        <v>189</v>
      </c>
      <c r="I1809" t="s">
        <v>77</v>
      </c>
    </row>
    <row r="1810" spans="1:9" x14ac:dyDescent="0.3">
      <c r="A1810">
        <v>8515</v>
      </c>
      <c r="B1810" t="s">
        <v>1372</v>
      </c>
      <c r="C1810" t="s">
        <v>92</v>
      </c>
      <c r="D1810" t="s">
        <v>64</v>
      </c>
      <c r="E1810" t="s">
        <v>1370</v>
      </c>
      <c r="F1810" s="13">
        <v>1</v>
      </c>
      <c r="G1810" s="14">
        <v>507.85</v>
      </c>
      <c r="H1810" s="13">
        <v>189</v>
      </c>
      <c r="I1810" t="s">
        <v>77</v>
      </c>
    </row>
    <row r="1811" spans="1:9" x14ac:dyDescent="0.3">
      <c r="A1811">
        <v>103</v>
      </c>
      <c r="B1811" t="s">
        <v>397</v>
      </c>
      <c r="C1811" t="s">
        <v>123</v>
      </c>
      <c r="D1811" t="s">
        <v>65</v>
      </c>
      <c r="E1811" t="s">
        <v>1373</v>
      </c>
      <c r="F1811" s="13">
        <v>3</v>
      </c>
      <c r="G1811" s="14">
        <v>5499.62</v>
      </c>
      <c r="H1811" s="13">
        <v>188</v>
      </c>
      <c r="I1811" t="s">
        <v>77</v>
      </c>
    </row>
    <row r="1812" spans="1:9" x14ac:dyDescent="0.3">
      <c r="A1812">
        <v>756</v>
      </c>
      <c r="B1812" t="s">
        <v>1374</v>
      </c>
      <c r="C1812" t="s">
        <v>97</v>
      </c>
      <c r="D1812" t="s">
        <v>65</v>
      </c>
      <c r="E1812" t="s">
        <v>1373</v>
      </c>
      <c r="F1812" s="13">
        <v>1</v>
      </c>
      <c r="G1812" s="14">
        <v>1661.42</v>
      </c>
      <c r="H1812" s="13">
        <v>188</v>
      </c>
      <c r="I1812" t="s">
        <v>77</v>
      </c>
    </row>
    <row r="1813" spans="1:9" x14ac:dyDescent="0.3">
      <c r="A1813">
        <v>848</v>
      </c>
      <c r="B1813" t="s">
        <v>534</v>
      </c>
      <c r="C1813" t="s">
        <v>137</v>
      </c>
      <c r="D1813" t="s">
        <v>64</v>
      </c>
      <c r="E1813" t="s">
        <v>1373</v>
      </c>
      <c r="F1813" s="13">
        <v>3</v>
      </c>
      <c r="G1813" s="14">
        <v>7998.5</v>
      </c>
      <c r="H1813" s="13">
        <v>188</v>
      </c>
      <c r="I1813" t="s">
        <v>77</v>
      </c>
    </row>
    <row r="1814" spans="1:9" x14ac:dyDescent="0.3">
      <c r="A1814">
        <v>963</v>
      </c>
      <c r="B1814" t="s">
        <v>636</v>
      </c>
      <c r="C1814" t="s">
        <v>87</v>
      </c>
      <c r="D1814" t="s">
        <v>64</v>
      </c>
      <c r="E1814" t="s">
        <v>1373</v>
      </c>
      <c r="F1814" s="13">
        <v>1</v>
      </c>
      <c r="G1814" s="14">
        <v>376.32</v>
      </c>
      <c r="H1814" s="13">
        <v>188</v>
      </c>
      <c r="I1814" t="s">
        <v>77</v>
      </c>
    </row>
    <row r="1815" spans="1:9" x14ac:dyDescent="0.3">
      <c r="A1815">
        <v>1144</v>
      </c>
      <c r="B1815" t="s">
        <v>86</v>
      </c>
      <c r="C1815" t="s">
        <v>114</v>
      </c>
      <c r="D1815" t="s">
        <v>66</v>
      </c>
      <c r="E1815" t="s">
        <v>1373</v>
      </c>
      <c r="F1815" s="13">
        <v>2</v>
      </c>
      <c r="G1815" s="14">
        <v>1239.99</v>
      </c>
      <c r="H1815" s="13">
        <v>188</v>
      </c>
      <c r="I1815" t="s">
        <v>77</v>
      </c>
    </row>
    <row r="1816" spans="1:9" x14ac:dyDescent="0.3">
      <c r="A1816">
        <v>1250</v>
      </c>
      <c r="B1816" t="s">
        <v>286</v>
      </c>
      <c r="C1816" t="s">
        <v>95</v>
      </c>
      <c r="D1816" t="s">
        <v>65</v>
      </c>
      <c r="E1816" t="s">
        <v>1373</v>
      </c>
      <c r="F1816" s="13">
        <v>1</v>
      </c>
      <c r="G1816" s="14">
        <v>889.1</v>
      </c>
      <c r="H1816" s="13">
        <v>188</v>
      </c>
      <c r="I1816" t="s">
        <v>77</v>
      </c>
    </row>
    <row r="1817" spans="1:9" x14ac:dyDescent="0.3">
      <c r="A1817">
        <v>1698</v>
      </c>
      <c r="B1817" t="s">
        <v>366</v>
      </c>
      <c r="C1817" t="s">
        <v>90</v>
      </c>
      <c r="D1817" t="s">
        <v>66</v>
      </c>
      <c r="E1817" t="s">
        <v>1373</v>
      </c>
      <c r="F1817" s="13">
        <v>2</v>
      </c>
      <c r="G1817" s="14">
        <v>3257.26</v>
      </c>
      <c r="H1817" s="13">
        <v>188</v>
      </c>
      <c r="I1817" t="s">
        <v>77</v>
      </c>
    </row>
    <row r="1818" spans="1:9" x14ac:dyDescent="0.3">
      <c r="A1818">
        <v>3510</v>
      </c>
      <c r="B1818" t="s">
        <v>1375</v>
      </c>
      <c r="C1818" t="s">
        <v>92</v>
      </c>
      <c r="D1818" t="s">
        <v>64</v>
      </c>
      <c r="E1818" t="s">
        <v>1373</v>
      </c>
      <c r="F1818" s="13">
        <v>2</v>
      </c>
      <c r="G1818" s="14">
        <v>729.71</v>
      </c>
      <c r="H1818" s="13">
        <v>188</v>
      </c>
      <c r="I1818" t="s">
        <v>77</v>
      </c>
    </row>
    <row r="1819" spans="1:9" x14ac:dyDescent="0.3">
      <c r="A1819">
        <v>4023</v>
      </c>
      <c r="B1819" t="s">
        <v>1376</v>
      </c>
      <c r="C1819" t="s">
        <v>114</v>
      </c>
      <c r="D1819" t="s">
        <v>66</v>
      </c>
      <c r="E1819" t="s">
        <v>1373</v>
      </c>
      <c r="F1819" s="13">
        <v>1</v>
      </c>
      <c r="G1819" s="14">
        <v>133.44</v>
      </c>
      <c r="H1819" s="13">
        <v>188</v>
      </c>
      <c r="I1819" t="s">
        <v>77</v>
      </c>
    </row>
    <row r="1820" spans="1:9" x14ac:dyDescent="0.3">
      <c r="A1820">
        <v>4045</v>
      </c>
      <c r="B1820" t="s">
        <v>89</v>
      </c>
      <c r="C1820" t="s">
        <v>95</v>
      </c>
      <c r="D1820" t="s">
        <v>65</v>
      </c>
      <c r="E1820" t="s">
        <v>1373</v>
      </c>
      <c r="F1820" s="13">
        <v>1</v>
      </c>
      <c r="G1820" s="14">
        <v>359.61</v>
      </c>
      <c r="H1820" s="13">
        <v>188</v>
      </c>
      <c r="I1820" t="s">
        <v>77</v>
      </c>
    </row>
    <row r="1821" spans="1:9" x14ac:dyDescent="0.3">
      <c r="A1821">
        <v>4507</v>
      </c>
      <c r="B1821" t="s">
        <v>1377</v>
      </c>
      <c r="C1821" t="s">
        <v>249</v>
      </c>
      <c r="D1821" t="s">
        <v>67</v>
      </c>
      <c r="E1821" t="s">
        <v>1373</v>
      </c>
      <c r="F1821" s="13">
        <v>1</v>
      </c>
      <c r="G1821" s="14">
        <v>2719.66</v>
      </c>
      <c r="H1821" s="13">
        <v>188</v>
      </c>
      <c r="I1821" t="s">
        <v>77</v>
      </c>
    </row>
    <row r="1822" spans="1:9" x14ac:dyDescent="0.3">
      <c r="A1822">
        <v>6577</v>
      </c>
      <c r="B1822" t="s">
        <v>314</v>
      </c>
      <c r="C1822" t="s">
        <v>95</v>
      </c>
      <c r="D1822" t="s">
        <v>65</v>
      </c>
      <c r="E1822" t="s">
        <v>1373</v>
      </c>
      <c r="F1822" s="13">
        <v>1</v>
      </c>
      <c r="G1822" s="14">
        <v>160.47999999999999</v>
      </c>
      <c r="H1822" s="13">
        <v>188</v>
      </c>
      <c r="I1822" t="s">
        <v>77</v>
      </c>
    </row>
    <row r="1823" spans="1:9" x14ac:dyDescent="0.3">
      <c r="A1823">
        <v>6620</v>
      </c>
      <c r="B1823" t="s">
        <v>1378</v>
      </c>
      <c r="C1823" t="s">
        <v>90</v>
      </c>
      <c r="D1823" t="s">
        <v>66</v>
      </c>
      <c r="E1823" t="s">
        <v>1373</v>
      </c>
      <c r="F1823" s="13">
        <v>7</v>
      </c>
      <c r="G1823" s="14">
        <v>19370.86</v>
      </c>
      <c r="H1823" s="13">
        <v>188</v>
      </c>
      <c r="I1823" t="s">
        <v>77</v>
      </c>
    </row>
    <row r="1824" spans="1:9" x14ac:dyDescent="0.3">
      <c r="A1824">
        <v>6789</v>
      </c>
      <c r="B1824" t="s">
        <v>423</v>
      </c>
      <c r="C1824" t="s">
        <v>133</v>
      </c>
      <c r="D1824" t="s">
        <v>64</v>
      </c>
      <c r="E1824" t="s">
        <v>1373</v>
      </c>
      <c r="F1824" s="13">
        <v>2</v>
      </c>
      <c r="G1824" s="14">
        <v>4470.12</v>
      </c>
      <c r="H1824" s="13">
        <v>188</v>
      </c>
      <c r="I1824" t="s">
        <v>77</v>
      </c>
    </row>
    <row r="1825" spans="1:9" x14ac:dyDescent="0.3">
      <c r="A1825">
        <v>6899</v>
      </c>
      <c r="B1825" t="s">
        <v>1379</v>
      </c>
      <c r="C1825" t="s">
        <v>87</v>
      </c>
      <c r="D1825" t="s">
        <v>64</v>
      </c>
      <c r="E1825" t="s">
        <v>1373</v>
      </c>
      <c r="F1825" s="13">
        <v>4</v>
      </c>
      <c r="G1825" s="14">
        <v>14466.96</v>
      </c>
      <c r="H1825" s="13">
        <v>188</v>
      </c>
      <c r="I1825" t="s">
        <v>77</v>
      </c>
    </row>
    <row r="1826" spans="1:9" x14ac:dyDescent="0.3">
      <c r="A1826">
        <v>7506</v>
      </c>
      <c r="B1826" t="s">
        <v>1380</v>
      </c>
      <c r="C1826" t="s">
        <v>97</v>
      </c>
      <c r="D1826" t="s">
        <v>65</v>
      </c>
      <c r="E1826" t="s">
        <v>1373</v>
      </c>
      <c r="F1826" s="13">
        <v>2</v>
      </c>
      <c r="G1826" s="14">
        <v>2977.98</v>
      </c>
      <c r="H1826" s="13">
        <v>188</v>
      </c>
      <c r="I1826" t="s">
        <v>77</v>
      </c>
    </row>
    <row r="1827" spans="1:9" x14ac:dyDescent="0.3">
      <c r="A1827">
        <v>8495</v>
      </c>
      <c r="B1827" t="s">
        <v>668</v>
      </c>
      <c r="C1827" t="s">
        <v>92</v>
      </c>
      <c r="D1827" t="s">
        <v>64</v>
      </c>
      <c r="E1827" t="s">
        <v>1373</v>
      </c>
      <c r="F1827" s="13">
        <v>1</v>
      </c>
      <c r="G1827" s="14">
        <v>3697.83</v>
      </c>
      <c r="H1827" s="13">
        <v>188</v>
      </c>
      <c r="I1827" t="s">
        <v>77</v>
      </c>
    </row>
    <row r="1828" spans="1:9" x14ac:dyDescent="0.3">
      <c r="A1828">
        <v>185</v>
      </c>
      <c r="B1828" t="s">
        <v>142</v>
      </c>
      <c r="C1828" t="s">
        <v>103</v>
      </c>
      <c r="D1828" t="s">
        <v>67</v>
      </c>
      <c r="E1828" t="s">
        <v>1381</v>
      </c>
      <c r="F1828" s="13">
        <v>1</v>
      </c>
      <c r="G1828" s="14">
        <v>192.11</v>
      </c>
      <c r="H1828" s="13">
        <v>187</v>
      </c>
      <c r="I1828" t="s">
        <v>77</v>
      </c>
    </row>
    <row r="1829" spans="1:9" x14ac:dyDescent="0.3">
      <c r="A1829">
        <v>825</v>
      </c>
      <c r="B1829" t="s">
        <v>514</v>
      </c>
      <c r="C1829" t="s">
        <v>92</v>
      </c>
      <c r="D1829" t="s">
        <v>64</v>
      </c>
      <c r="E1829" t="s">
        <v>1381</v>
      </c>
      <c r="F1829" s="13">
        <v>1</v>
      </c>
      <c r="G1829" s="14">
        <v>264.39999999999998</v>
      </c>
      <c r="H1829" s="13">
        <v>187</v>
      </c>
      <c r="I1829" t="s">
        <v>77</v>
      </c>
    </row>
    <row r="1830" spans="1:9" x14ac:dyDescent="0.3">
      <c r="A1830">
        <v>1840</v>
      </c>
      <c r="B1830" t="s">
        <v>99</v>
      </c>
      <c r="C1830" t="s">
        <v>133</v>
      </c>
      <c r="D1830" t="s">
        <v>64</v>
      </c>
      <c r="E1830" t="s">
        <v>1381</v>
      </c>
      <c r="F1830" s="13">
        <v>3</v>
      </c>
      <c r="G1830" s="14">
        <v>2049.5300000000002</v>
      </c>
      <c r="H1830" s="13">
        <v>187</v>
      </c>
      <c r="I1830" t="s">
        <v>77</v>
      </c>
    </row>
    <row r="1831" spans="1:9" x14ac:dyDescent="0.3">
      <c r="A1831">
        <v>3503</v>
      </c>
      <c r="B1831" t="s">
        <v>99</v>
      </c>
      <c r="C1831" t="s">
        <v>92</v>
      </c>
      <c r="D1831" t="s">
        <v>64</v>
      </c>
      <c r="E1831" t="s">
        <v>1381</v>
      </c>
      <c r="F1831" s="13">
        <v>3</v>
      </c>
      <c r="G1831" s="14">
        <v>2975.52</v>
      </c>
      <c r="H1831" s="13">
        <v>187</v>
      </c>
      <c r="I1831" t="s">
        <v>77</v>
      </c>
    </row>
    <row r="1832" spans="1:9" x14ac:dyDescent="0.3">
      <c r="A1832">
        <v>3699</v>
      </c>
      <c r="B1832" t="s">
        <v>415</v>
      </c>
      <c r="C1832" t="s">
        <v>249</v>
      </c>
      <c r="D1832" t="s">
        <v>67</v>
      </c>
      <c r="E1832" t="s">
        <v>1381</v>
      </c>
      <c r="F1832" s="13">
        <v>2</v>
      </c>
      <c r="G1832" s="14">
        <v>2013.99</v>
      </c>
      <c r="H1832" s="13">
        <v>187</v>
      </c>
      <c r="I1832" t="s">
        <v>77</v>
      </c>
    </row>
    <row r="1833" spans="1:9" x14ac:dyDescent="0.3">
      <c r="A1833">
        <v>4325</v>
      </c>
      <c r="B1833" t="s">
        <v>1382</v>
      </c>
      <c r="C1833" t="s">
        <v>95</v>
      </c>
      <c r="D1833" t="s">
        <v>65</v>
      </c>
      <c r="E1833" t="s">
        <v>1381</v>
      </c>
      <c r="F1833" s="13">
        <v>1</v>
      </c>
      <c r="G1833" s="14">
        <v>2099.89</v>
      </c>
      <c r="H1833" s="13">
        <v>187</v>
      </c>
      <c r="I1833" t="s">
        <v>77</v>
      </c>
    </row>
    <row r="1834" spans="1:9" x14ac:dyDescent="0.3">
      <c r="A1834">
        <v>4631</v>
      </c>
      <c r="B1834" t="s">
        <v>1383</v>
      </c>
      <c r="C1834" t="s">
        <v>92</v>
      </c>
      <c r="D1834" t="s">
        <v>64</v>
      </c>
      <c r="E1834" t="s">
        <v>1381</v>
      </c>
      <c r="F1834" s="13">
        <v>4</v>
      </c>
      <c r="G1834" s="14">
        <v>7878.6</v>
      </c>
      <c r="H1834" s="13">
        <v>187</v>
      </c>
      <c r="I1834" t="s">
        <v>77</v>
      </c>
    </row>
    <row r="1835" spans="1:9" x14ac:dyDescent="0.3">
      <c r="A1835">
        <v>5009</v>
      </c>
      <c r="B1835" t="s">
        <v>178</v>
      </c>
      <c r="C1835" t="s">
        <v>249</v>
      </c>
      <c r="D1835" t="s">
        <v>67</v>
      </c>
      <c r="E1835" t="s">
        <v>1381</v>
      </c>
      <c r="F1835" s="13">
        <v>4</v>
      </c>
      <c r="G1835" s="14">
        <v>6578.55</v>
      </c>
      <c r="H1835" s="13">
        <v>187</v>
      </c>
      <c r="I1835" t="s">
        <v>77</v>
      </c>
    </row>
    <row r="1836" spans="1:9" x14ac:dyDescent="0.3">
      <c r="A1836">
        <v>5275</v>
      </c>
      <c r="B1836" t="s">
        <v>325</v>
      </c>
      <c r="C1836" t="s">
        <v>100</v>
      </c>
      <c r="D1836" t="s">
        <v>66</v>
      </c>
      <c r="E1836" t="s">
        <v>1381</v>
      </c>
      <c r="F1836" s="13">
        <v>1</v>
      </c>
      <c r="G1836" s="14">
        <v>578.45000000000005</v>
      </c>
      <c r="H1836" s="13">
        <v>187</v>
      </c>
      <c r="I1836" t="s">
        <v>77</v>
      </c>
    </row>
    <row r="1837" spans="1:9" x14ac:dyDescent="0.3">
      <c r="A1837">
        <v>6860</v>
      </c>
      <c r="B1837" t="s">
        <v>1384</v>
      </c>
      <c r="C1837" t="s">
        <v>121</v>
      </c>
      <c r="D1837" t="s">
        <v>67</v>
      </c>
      <c r="E1837" t="s">
        <v>1381</v>
      </c>
      <c r="F1837" s="13">
        <v>2</v>
      </c>
      <c r="G1837" s="14">
        <v>2352.1</v>
      </c>
      <c r="H1837" s="13">
        <v>187</v>
      </c>
      <c r="I1837" t="s">
        <v>77</v>
      </c>
    </row>
    <row r="1838" spans="1:9" x14ac:dyDescent="0.3">
      <c r="A1838">
        <v>6873</v>
      </c>
      <c r="B1838" t="s">
        <v>870</v>
      </c>
      <c r="C1838" t="s">
        <v>92</v>
      </c>
      <c r="D1838" t="s">
        <v>64</v>
      </c>
      <c r="E1838" t="s">
        <v>1381</v>
      </c>
      <c r="F1838" s="13">
        <v>3</v>
      </c>
      <c r="G1838" s="14">
        <v>1326.02</v>
      </c>
      <c r="H1838" s="13">
        <v>187</v>
      </c>
      <c r="I1838" t="s">
        <v>77</v>
      </c>
    </row>
    <row r="1839" spans="1:9" x14ac:dyDescent="0.3">
      <c r="A1839">
        <v>7371</v>
      </c>
      <c r="B1839" t="s">
        <v>1385</v>
      </c>
      <c r="C1839" t="s">
        <v>95</v>
      </c>
      <c r="D1839" t="s">
        <v>65</v>
      </c>
      <c r="E1839" t="s">
        <v>1381</v>
      </c>
      <c r="F1839" s="13">
        <v>2</v>
      </c>
      <c r="G1839" s="14">
        <v>11904.71</v>
      </c>
      <c r="H1839" s="13">
        <v>187</v>
      </c>
      <c r="I1839" t="s">
        <v>77</v>
      </c>
    </row>
    <row r="1840" spans="1:9" x14ac:dyDescent="0.3">
      <c r="A1840">
        <v>8252</v>
      </c>
      <c r="B1840" t="s">
        <v>1182</v>
      </c>
      <c r="C1840" t="s">
        <v>92</v>
      </c>
      <c r="D1840" t="s">
        <v>64</v>
      </c>
      <c r="E1840" t="s">
        <v>1381</v>
      </c>
      <c r="F1840" s="13">
        <v>1</v>
      </c>
      <c r="G1840" s="14">
        <v>654.66999999999996</v>
      </c>
      <c r="H1840" s="13">
        <v>187</v>
      </c>
      <c r="I1840" t="s">
        <v>77</v>
      </c>
    </row>
    <row r="1841" spans="1:9" x14ac:dyDescent="0.3">
      <c r="A1841">
        <v>8294</v>
      </c>
      <c r="B1841" t="s">
        <v>1386</v>
      </c>
      <c r="C1841" t="s">
        <v>133</v>
      </c>
      <c r="D1841" t="s">
        <v>64</v>
      </c>
      <c r="E1841" t="s">
        <v>1381</v>
      </c>
      <c r="F1841" s="13">
        <v>1</v>
      </c>
      <c r="G1841" s="14">
        <v>2336.33</v>
      </c>
      <c r="H1841" s="13">
        <v>187</v>
      </c>
      <c r="I1841" t="s">
        <v>77</v>
      </c>
    </row>
    <row r="1842" spans="1:9" x14ac:dyDescent="0.3">
      <c r="A1842">
        <v>8452</v>
      </c>
      <c r="B1842" t="s">
        <v>333</v>
      </c>
      <c r="C1842" t="s">
        <v>133</v>
      </c>
      <c r="D1842" t="s">
        <v>64</v>
      </c>
      <c r="E1842" t="s">
        <v>1381</v>
      </c>
      <c r="F1842" s="13">
        <v>1</v>
      </c>
      <c r="G1842" s="14">
        <v>716.63</v>
      </c>
      <c r="H1842" s="13">
        <v>187</v>
      </c>
      <c r="I1842" t="s">
        <v>77</v>
      </c>
    </row>
    <row r="1843" spans="1:9" x14ac:dyDescent="0.3">
      <c r="A1843">
        <v>351</v>
      </c>
      <c r="B1843" t="s">
        <v>645</v>
      </c>
      <c r="C1843" t="s">
        <v>133</v>
      </c>
      <c r="D1843" t="s">
        <v>64</v>
      </c>
      <c r="E1843" t="s">
        <v>1387</v>
      </c>
      <c r="F1843" s="13">
        <v>1</v>
      </c>
      <c r="G1843" s="14">
        <v>133.22</v>
      </c>
      <c r="H1843" s="13">
        <v>186</v>
      </c>
      <c r="I1843" t="s">
        <v>77</v>
      </c>
    </row>
    <row r="1844" spans="1:9" x14ac:dyDescent="0.3">
      <c r="A1844">
        <v>591</v>
      </c>
      <c r="B1844" t="s">
        <v>431</v>
      </c>
      <c r="C1844" t="s">
        <v>114</v>
      </c>
      <c r="D1844" t="s">
        <v>66</v>
      </c>
      <c r="E1844" t="s">
        <v>1387</v>
      </c>
      <c r="F1844" s="13">
        <v>1</v>
      </c>
      <c r="G1844" s="14">
        <v>5517.29</v>
      </c>
      <c r="H1844" s="13">
        <v>186</v>
      </c>
      <c r="I1844" t="s">
        <v>77</v>
      </c>
    </row>
    <row r="1845" spans="1:9" x14ac:dyDescent="0.3">
      <c r="A1845">
        <v>1961</v>
      </c>
      <c r="B1845" t="s">
        <v>1388</v>
      </c>
      <c r="C1845" t="s">
        <v>121</v>
      </c>
      <c r="D1845" t="s">
        <v>67</v>
      </c>
      <c r="E1845" t="s">
        <v>1387</v>
      </c>
      <c r="F1845" s="13">
        <v>2</v>
      </c>
      <c r="G1845" s="14">
        <v>8523.93</v>
      </c>
      <c r="H1845" s="13">
        <v>186</v>
      </c>
      <c r="I1845" t="s">
        <v>77</v>
      </c>
    </row>
    <row r="1846" spans="1:9" x14ac:dyDescent="0.3">
      <c r="A1846">
        <v>4970</v>
      </c>
      <c r="B1846" t="s">
        <v>110</v>
      </c>
      <c r="C1846" t="s">
        <v>137</v>
      </c>
      <c r="D1846" t="s">
        <v>64</v>
      </c>
      <c r="E1846" t="s">
        <v>1387</v>
      </c>
      <c r="F1846" s="13">
        <v>2</v>
      </c>
      <c r="G1846" s="14">
        <v>449.6</v>
      </c>
      <c r="H1846" s="13">
        <v>186</v>
      </c>
      <c r="I1846" t="s">
        <v>77</v>
      </c>
    </row>
    <row r="1847" spans="1:9" x14ac:dyDescent="0.3">
      <c r="A1847">
        <v>5717</v>
      </c>
      <c r="B1847" t="s">
        <v>1389</v>
      </c>
      <c r="C1847" t="s">
        <v>90</v>
      </c>
      <c r="D1847" t="s">
        <v>66</v>
      </c>
      <c r="E1847" t="s">
        <v>1387</v>
      </c>
      <c r="F1847" s="13">
        <v>5</v>
      </c>
      <c r="G1847" s="14">
        <v>5959.36</v>
      </c>
      <c r="H1847" s="13">
        <v>186</v>
      </c>
      <c r="I1847" t="s">
        <v>77</v>
      </c>
    </row>
    <row r="1848" spans="1:9" x14ac:dyDescent="0.3">
      <c r="A1848">
        <v>6797</v>
      </c>
      <c r="B1848" t="s">
        <v>756</v>
      </c>
      <c r="C1848" t="s">
        <v>95</v>
      </c>
      <c r="D1848" t="s">
        <v>65</v>
      </c>
      <c r="E1848" t="s">
        <v>1387</v>
      </c>
      <c r="F1848" s="13">
        <v>1</v>
      </c>
      <c r="G1848" s="14">
        <v>3114.73</v>
      </c>
      <c r="H1848" s="13">
        <v>186</v>
      </c>
      <c r="I1848" t="s">
        <v>77</v>
      </c>
    </row>
    <row r="1849" spans="1:9" x14ac:dyDescent="0.3">
      <c r="A1849">
        <v>8201</v>
      </c>
      <c r="B1849" t="s">
        <v>559</v>
      </c>
      <c r="C1849" t="s">
        <v>123</v>
      </c>
      <c r="D1849" t="s">
        <v>65</v>
      </c>
      <c r="E1849" t="s">
        <v>1387</v>
      </c>
      <c r="F1849" s="13">
        <v>2</v>
      </c>
      <c r="G1849" s="14">
        <v>2689.87</v>
      </c>
      <c r="H1849" s="13">
        <v>186</v>
      </c>
      <c r="I1849" t="s">
        <v>77</v>
      </c>
    </row>
    <row r="1850" spans="1:9" x14ac:dyDescent="0.3">
      <c r="A1850">
        <v>8496</v>
      </c>
      <c r="B1850" t="s">
        <v>1390</v>
      </c>
      <c r="C1850" t="s">
        <v>95</v>
      </c>
      <c r="D1850" t="s">
        <v>65</v>
      </c>
      <c r="E1850" t="s">
        <v>1387</v>
      </c>
      <c r="F1850" s="13">
        <v>2</v>
      </c>
      <c r="G1850" s="14">
        <v>1150.69</v>
      </c>
      <c r="H1850" s="13">
        <v>186</v>
      </c>
      <c r="I1850" t="s">
        <v>77</v>
      </c>
    </row>
    <row r="1851" spans="1:9" x14ac:dyDescent="0.3">
      <c r="A1851">
        <v>452</v>
      </c>
      <c r="B1851" t="s">
        <v>1391</v>
      </c>
      <c r="C1851" t="s">
        <v>87</v>
      </c>
      <c r="D1851" t="s">
        <v>64</v>
      </c>
      <c r="E1851" t="s">
        <v>1392</v>
      </c>
      <c r="F1851" s="13">
        <v>2</v>
      </c>
      <c r="G1851" s="14">
        <v>1993.61</v>
      </c>
      <c r="H1851" s="13">
        <v>185</v>
      </c>
      <c r="I1851" t="s">
        <v>77</v>
      </c>
    </row>
    <row r="1852" spans="1:9" x14ac:dyDescent="0.3">
      <c r="A1852">
        <v>908</v>
      </c>
      <c r="B1852" t="s">
        <v>1359</v>
      </c>
      <c r="C1852" t="s">
        <v>92</v>
      </c>
      <c r="D1852" t="s">
        <v>64</v>
      </c>
      <c r="E1852" t="s">
        <v>1392</v>
      </c>
      <c r="F1852" s="13">
        <v>3</v>
      </c>
      <c r="G1852" s="14">
        <v>3065.18</v>
      </c>
      <c r="H1852" s="13">
        <v>185</v>
      </c>
      <c r="I1852" t="s">
        <v>77</v>
      </c>
    </row>
    <row r="1853" spans="1:9" x14ac:dyDescent="0.3">
      <c r="A1853">
        <v>2090</v>
      </c>
      <c r="B1853" t="s">
        <v>1393</v>
      </c>
      <c r="C1853" t="s">
        <v>114</v>
      </c>
      <c r="D1853" t="s">
        <v>66</v>
      </c>
      <c r="E1853" t="s">
        <v>1392</v>
      </c>
      <c r="F1853" s="13">
        <v>2</v>
      </c>
      <c r="G1853" s="14">
        <v>6739.66</v>
      </c>
      <c r="H1853" s="13">
        <v>185</v>
      </c>
      <c r="I1853" t="s">
        <v>77</v>
      </c>
    </row>
    <row r="1854" spans="1:9" x14ac:dyDescent="0.3">
      <c r="A1854">
        <v>2680</v>
      </c>
      <c r="B1854" t="s">
        <v>135</v>
      </c>
      <c r="C1854" t="s">
        <v>100</v>
      </c>
      <c r="D1854" t="s">
        <v>66</v>
      </c>
      <c r="E1854" t="s">
        <v>1392</v>
      </c>
      <c r="F1854" s="13">
        <v>1</v>
      </c>
      <c r="G1854" s="14">
        <v>2607.37</v>
      </c>
      <c r="H1854" s="13">
        <v>185</v>
      </c>
      <c r="I1854" t="s">
        <v>77</v>
      </c>
    </row>
    <row r="1855" spans="1:9" x14ac:dyDescent="0.3">
      <c r="A1855">
        <v>2844</v>
      </c>
      <c r="B1855" t="s">
        <v>1394</v>
      </c>
      <c r="C1855" t="s">
        <v>92</v>
      </c>
      <c r="D1855" t="s">
        <v>64</v>
      </c>
      <c r="E1855" t="s">
        <v>1392</v>
      </c>
      <c r="F1855" s="13">
        <v>2</v>
      </c>
      <c r="G1855" s="14">
        <v>4528.3999999999996</v>
      </c>
      <c r="H1855" s="13">
        <v>185</v>
      </c>
      <c r="I1855" t="s">
        <v>77</v>
      </c>
    </row>
    <row r="1856" spans="1:9" x14ac:dyDescent="0.3">
      <c r="A1856">
        <v>4990</v>
      </c>
      <c r="B1856" t="s">
        <v>286</v>
      </c>
      <c r="C1856" t="s">
        <v>92</v>
      </c>
      <c r="D1856" t="s">
        <v>64</v>
      </c>
      <c r="E1856" t="s">
        <v>1392</v>
      </c>
      <c r="F1856" s="13">
        <v>2</v>
      </c>
      <c r="G1856" s="14">
        <v>749.04</v>
      </c>
      <c r="H1856" s="13">
        <v>185</v>
      </c>
      <c r="I1856" t="s">
        <v>77</v>
      </c>
    </row>
    <row r="1857" spans="1:9" x14ac:dyDescent="0.3">
      <c r="A1857">
        <v>7688</v>
      </c>
      <c r="B1857" t="s">
        <v>1395</v>
      </c>
      <c r="C1857" t="s">
        <v>103</v>
      </c>
      <c r="D1857" t="s">
        <v>67</v>
      </c>
      <c r="E1857" t="s">
        <v>1392</v>
      </c>
      <c r="F1857" s="13">
        <v>3</v>
      </c>
      <c r="G1857" s="14">
        <v>12644.83</v>
      </c>
      <c r="H1857" s="13">
        <v>185</v>
      </c>
      <c r="I1857" t="s">
        <v>77</v>
      </c>
    </row>
    <row r="1858" spans="1:9" x14ac:dyDescent="0.3">
      <c r="A1858">
        <v>8381</v>
      </c>
      <c r="B1858" t="s">
        <v>364</v>
      </c>
      <c r="C1858" t="s">
        <v>133</v>
      </c>
      <c r="D1858" t="s">
        <v>64</v>
      </c>
      <c r="E1858" t="s">
        <v>1392</v>
      </c>
      <c r="F1858" s="13">
        <v>2</v>
      </c>
      <c r="G1858" s="14">
        <v>3226.9</v>
      </c>
      <c r="H1858" s="13">
        <v>185</v>
      </c>
      <c r="I1858" t="s">
        <v>77</v>
      </c>
    </row>
    <row r="1859" spans="1:9" x14ac:dyDescent="0.3">
      <c r="A1859">
        <v>1098</v>
      </c>
      <c r="B1859" t="s">
        <v>373</v>
      </c>
      <c r="C1859" t="s">
        <v>133</v>
      </c>
      <c r="D1859" t="s">
        <v>64</v>
      </c>
      <c r="E1859" t="s">
        <v>1396</v>
      </c>
      <c r="F1859" s="13">
        <v>6</v>
      </c>
      <c r="G1859" s="14">
        <v>13815.7</v>
      </c>
      <c r="H1859" s="13">
        <v>184</v>
      </c>
      <c r="I1859" t="s">
        <v>77</v>
      </c>
    </row>
    <row r="1860" spans="1:9" x14ac:dyDescent="0.3">
      <c r="A1860">
        <v>2743</v>
      </c>
      <c r="B1860" t="s">
        <v>199</v>
      </c>
      <c r="C1860" t="s">
        <v>100</v>
      </c>
      <c r="D1860" t="s">
        <v>66</v>
      </c>
      <c r="E1860" t="s">
        <v>1396</v>
      </c>
      <c r="F1860" s="13">
        <v>1</v>
      </c>
      <c r="G1860" s="14">
        <v>162.33000000000001</v>
      </c>
      <c r="H1860" s="13">
        <v>184</v>
      </c>
      <c r="I1860" t="s">
        <v>77</v>
      </c>
    </row>
    <row r="1861" spans="1:9" x14ac:dyDescent="0.3">
      <c r="A1861">
        <v>3329</v>
      </c>
      <c r="B1861" t="s">
        <v>449</v>
      </c>
      <c r="C1861" t="s">
        <v>92</v>
      </c>
      <c r="D1861" t="s">
        <v>64</v>
      </c>
      <c r="E1861" t="s">
        <v>1396</v>
      </c>
      <c r="F1861" s="13">
        <v>1</v>
      </c>
      <c r="G1861" s="14">
        <v>1626.62</v>
      </c>
      <c r="H1861" s="13">
        <v>184</v>
      </c>
      <c r="I1861" t="s">
        <v>77</v>
      </c>
    </row>
    <row r="1862" spans="1:9" x14ac:dyDescent="0.3">
      <c r="A1862">
        <v>4486</v>
      </c>
      <c r="B1862" t="s">
        <v>438</v>
      </c>
      <c r="C1862" t="s">
        <v>123</v>
      </c>
      <c r="D1862" t="s">
        <v>65</v>
      </c>
      <c r="E1862" t="s">
        <v>1396</v>
      </c>
      <c r="F1862" s="13">
        <v>2</v>
      </c>
      <c r="G1862" s="14">
        <v>1755.6</v>
      </c>
      <c r="H1862" s="13">
        <v>184</v>
      </c>
      <c r="I1862" t="s">
        <v>77</v>
      </c>
    </row>
    <row r="1863" spans="1:9" x14ac:dyDescent="0.3">
      <c r="A1863">
        <v>5651</v>
      </c>
      <c r="B1863" t="s">
        <v>1397</v>
      </c>
      <c r="C1863" t="s">
        <v>100</v>
      </c>
      <c r="D1863" t="s">
        <v>66</v>
      </c>
      <c r="E1863" t="s">
        <v>1396</v>
      </c>
      <c r="F1863" s="13">
        <v>3</v>
      </c>
      <c r="G1863" s="14">
        <v>4759.5600000000004</v>
      </c>
      <c r="H1863" s="13">
        <v>184</v>
      </c>
      <c r="I1863" t="s">
        <v>77</v>
      </c>
    </row>
    <row r="1864" spans="1:9" x14ac:dyDescent="0.3">
      <c r="A1864">
        <v>6383</v>
      </c>
      <c r="B1864" t="s">
        <v>151</v>
      </c>
      <c r="C1864" t="s">
        <v>123</v>
      </c>
      <c r="D1864" t="s">
        <v>65</v>
      </c>
      <c r="E1864" t="s">
        <v>1396</v>
      </c>
      <c r="F1864" s="13">
        <v>7</v>
      </c>
      <c r="G1864" s="14">
        <v>14733.08</v>
      </c>
      <c r="H1864" s="13">
        <v>184</v>
      </c>
      <c r="I1864" t="s">
        <v>77</v>
      </c>
    </row>
    <row r="1865" spans="1:9" x14ac:dyDescent="0.3">
      <c r="A1865">
        <v>7366</v>
      </c>
      <c r="B1865" t="s">
        <v>1398</v>
      </c>
      <c r="C1865" t="s">
        <v>90</v>
      </c>
      <c r="D1865" t="s">
        <v>66</v>
      </c>
      <c r="E1865" t="s">
        <v>1396</v>
      </c>
      <c r="F1865" s="13">
        <v>1</v>
      </c>
      <c r="G1865" s="14">
        <v>486.33</v>
      </c>
      <c r="H1865" s="13">
        <v>184</v>
      </c>
      <c r="I1865" t="s">
        <v>77</v>
      </c>
    </row>
    <row r="1866" spans="1:9" x14ac:dyDescent="0.3">
      <c r="A1866">
        <v>740</v>
      </c>
      <c r="B1866" t="s">
        <v>208</v>
      </c>
      <c r="C1866" t="s">
        <v>97</v>
      </c>
      <c r="D1866" t="s">
        <v>65</v>
      </c>
      <c r="E1866" t="s">
        <v>1399</v>
      </c>
      <c r="F1866" s="13">
        <v>4</v>
      </c>
      <c r="G1866" s="14">
        <v>5877.04</v>
      </c>
      <c r="H1866" s="13">
        <v>183</v>
      </c>
      <c r="I1866" t="s">
        <v>77</v>
      </c>
    </row>
    <row r="1867" spans="1:9" x14ac:dyDescent="0.3">
      <c r="A1867">
        <v>1413</v>
      </c>
      <c r="B1867" t="s">
        <v>205</v>
      </c>
      <c r="C1867" t="s">
        <v>97</v>
      </c>
      <c r="D1867" t="s">
        <v>65</v>
      </c>
      <c r="E1867" t="s">
        <v>1399</v>
      </c>
      <c r="F1867" s="13">
        <v>1</v>
      </c>
      <c r="G1867" s="14">
        <v>4234.91</v>
      </c>
      <c r="H1867" s="13">
        <v>183</v>
      </c>
      <c r="I1867" t="s">
        <v>77</v>
      </c>
    </row>
    <row r="1868" spans="1:9" x14ac:dyDescent="0.3">
      <c r="A1868">
        <v>1448</v>
      </c>
      <c r="B1868" t="s">
        <v>1400</v>
      </c>
      <c r="C1868" t="s">
        <v>100</v>
      </c>
      <c r="D1868" t="s">
        <v>66</v>
      </c>
      <c r="E1868" t="s">
        <v>1399</v>
      </c>
      <c r="F1868" s="13">
        <v>4</v>
      </c>
      <c r="G1868" s="14">
        <v>4913.1499999999996</v>
      </c>
      <c r="H1868" s="13">
        <v>183</v>
      </c>
      <c r="I1868" t="s">
        <v>77</v>
      </c>
    </row>
    <row r="1869" spans="1:9" x14ac:dyDescent="0.3">
      <c r="A1869">
        <v>3318</v>
      </c>
      <c r="B1869" t="s">
        <v>1401</v>
      </c>
      <c r="C1869" t="s">
        <v>92</v>
      </c>
      <c r="D1869" t="s">
        <v>64</v>
      </c>
      <c r="E1869" t="s">
        <v>1399</v>
      </c>
      <c r="F1869" s="13">
        <v>1</v>
      </c>
      <c r="G1869" s="14">
        <v>6176.53</v>
      </c>
      <c r="H1869" s="13">
        <v>183</v>
      </c>
      <c r="I1869" t="s">
        <v>77</v>
      </c>
    </row>
    <row r="1870" spans="1:9" x14ac:dyDescent="0.3">
      <c r="A1870">
        <v>6359</v>
      </c>
      <c r="B1870" t="s">
        <v>382</v>
      </c>
      <c r="C1870" t="s">
        <v>123</v>
      </c>
      <c r="D1870" t="s">
        <v>65</v>
      </c>
      <c r="E1870" t="s">
        <v>1399</v>
      </c>
      <c r="F1870" s="13">
        <v>1</v>
      </c>
      <c r="G1870" s="14">
        <v>51.36</v>
      </c>
      <c r="H1870" s="13">
        <v>183</v>
      </c>
      <c r="I1870" t="s">
        <v>77</v>
      </c>
    </row>
    <row r="1871" spans="1:9" x14ac:dyDescent="0.3">
      <c r="A1871">
        <v>6626</v>
      </c>
      <c r="B1871" t="s">
        <v>1402</v>
      </c>
      <c r="C1871" t="s">
        <v>92</v>
      </c>
      <c r="D1871" t="s">
        <v>64</v>
      </c>
      <c r="E1871" t="s">
        <v>1399</v>
      </c>
      <c r="F1871" s="13">
        <v>4</v>
      </c>
      <c r="G1871" s="14">
        <v>1531.31</v>
      </c>
      <c r="H1871" s="13">
        <v>183</v>
      </c>
      <c r="I1871" t="s">
        <v>77</v>
      </c>
    </row>
    <row r="1872" spans="1:9" x14ac:dyDescent="0.3">
      <c r="A1872">
        <v>7699</v>
      </c>
      <c r="B1872" t="s">
        <v>668</v>
      </c>
      <c r="C1872" t="s">
        <v>103</v>
      </c>
      <c r="D1872" t="s">
        <v>67</v>
      </c>
      <c r="E1872" t="s">
        <v>1399</v>
      </c>
      <c r="F1872" s="13">
        <v>3</v>
      </c>
      <c r="G1872" s="14">
        <v>2346.86</v>
      </c>
      <c r="H1872" s="13">
        <v>183</v>
      </c>
      <c r="I1872" t="s">
        <v>77</v>
      </c>
    </row>
    <row r="1873" spans="1:9" x14ac:dyDescent="0.3">
      <c r="A1873">
        <v>8318</v>
      </c>
      <c r="B1873" t="s">
        <v>1403</v>
      </c>
      <c r="C1873" t="s">
        <v>87</v>
      </c>
      <c r="D1873" t="s">
        <v>64</v>
      </c>
      <c r="E1873" t="s">
        <v>1399</v>
      </c>
      <c r="F1873" s="13">
        <v>1</v>
      </c>
      <c r="G1873" s="14">
        <v>73.03</v>
      </c>
      <c r="H1873" s="13">
        <v>183</v>
      </c>
      <c r="I1873" t="s">
        <v>77</v>
      </c>
    </row>
    <row r="1874" spans="1:9" x14ac:dyDescent="0.3">
      <c r="A1874">
        <v>8483</v>
      </c>
      <c r="B1874" t="s">
        <v>606</v>
      </c>
      <c r="C1874" t="s">
        <v>92</v>
      </c>
      <c r="D1874" t="s">
        <v>64</v>
      </c>
      <c r="E1874" t="s">
        <v>1399</v>
      </c>
      <c r="F1874" s="13">
        <v>2</v>
      </c>
      <c r="G1874" s="14">
        <v>7237.85</v>
      </c>
      <c r="H1874" s="13">
        <v>183</v>
      </c>
      <c r="I1874" t="s">
        <v>77</v>
      </c>
    </row>
    <row r="1875" spans="1:9" x14ac:dyDescent="0.3">
      <c r="A1875">
        <v>495</v>
      </c>
      <c r="B1875" t="s">
        <v>346</v>
      </c>
      <c r="C1875" t="s">
        <v>133</v>
      </c>
      <c r="D1875" t="s">
        <v>64</v>
      </c>
      <c r="E1875" t="s">
        <v>1404</v>
      </c>
      <c r="F1875" s="13">
        <v>3</v>
      </c>
      <c r="G1875" s="14">
        <v>7981.56</v>
      </c>
      <c r="H1875" s="13">
        <v>182</v>
      </c>
      <c r="I1875" t="s">
        <v>77</v>
      </c>
    </row>
    <row r="1876" spans="1:9" x14ac:dyDescent="0.3">
      <c r="A1876">
        <v>1746</v>
      </c>
      <c r="B1876" t="s">
        <v>1405</v>
      </c>
      <c r="C1876" t="s">
        <v>92</v>
      </c>
      <c r="D1876" t="s">
        <v>64</v>
      </c>
      <c r="E1876" t="s">
        <v>1404</v>
      </c>
      <c r="F1876" s="13">
        <v>1</v>
      </c>
      <c r="G1876" s="14">
        <v>280.98</v>
      </c>
      <c r="H1876" s="13">
        <v>182</v>
      </c>
      <c r="I1876" t="s">
        <v>77</v>
      </c>
    </row>
    <row r="1877" spans="1:9" x14ac:dyDescent="0.3">
      <c r="A1877">
        <v>2444</v>
      </c>
      <c r="B1877" t="s">
        <v>407</v>
      </c>
      <c r="C1877" t="s">
        <v>133</v>
      </c>
      <c r="D1877" t="s">
        <v>64</v>
      </c>
      <c r="E1877" t="s">
        <v>1404</v>
      </c>
      <c r="F1877" s="13">
        <v>5</v>
      </c>
      <c r="G1877" s="14">
        <v>8075.87</v>
      </c>
      <c r="H1877" s="13">
        <v>182</v>
      </c>
      <c r="I1877" t="s">
        <v>77</v>
      </c>
    </row>
    <row r="1878" spans="1:9" x14ac:dyDescent="0.3">
      <c r="A1878">
        <v>2528</v>
      </c>
      <c r="B1878" t="s">
        <v>1406</v>
      </c>
      <c r="C1878" t="s">
        <v>137</v>
      </c>
      <c r="D1878" t="s">
        <v>64</v>
      </c>
      <c r="E1878" t="s">
        <v>1404</v>
      </c>
      <c r="F1878" s="13">
        <v>1</v>
      </c>
      <c r="G1878" s="14">
        <v>792.67</v>
      </c>
      <c r="H1878" s="13">
        <v>182</v>
      </c>
      <c r="I1878" t="s">
        <v>77</v>
      </c>
    </row>
    <row r="1879" spans="1:9" x14ac:dyDescent="0.3">
      <c r="A1879">
        <v>3505</v>
      </c>
      <c r="B1879" t="s">
        <v>468</v>
      </c>
      <c r="C1879" t="s">
        <v>137</v>
      </c>
      <c r="D1879" t="s">
        <v>64</v>
      </c>
      <c r="E1879" t="s">
        <v>1404</v>
      </c>
      <c r="F1879" s="13">
        <v>1</v>
      </c>
      <c r="G1879" s="14">
        <v>1912.48</v>
      </c>
      <c r="H1879" s="13">
        <v>182</v>
      </c>
      <c r="I1879" t="s">
        <v>77</v>
      </c>
    </row>
    <row r="1880" spans="1:9" x14ac:dyDescent="0.3">
      <c r="A1880">
        <v>3961</v>
      </c>
      <c r="B1880" t="s">
        <v>286</v>
      </c>
      <c r="C1880" t="s">
        <v>97</v>
      </c>
      <c r="D1880" t="s">
        <v>65</v>
      </c>
      <c r="E1880" t="s">
        <v>1404</v>
      </c>
      <c r="F1880" s="13">
        <v>3</v>
      </c>
      <c r="G1880" s="14">
        <v>5512.88</v>
      </c>
      <c r="H1880" s="13">
        <v>182</v>
      </c>
      <c r="I1880" t="s">
        <v>77</v>
      </c>
    </row>
    <row r="1881" spans="1:9" x14ac:dyDescent="0.3">
      <c r="A1881">
        <v>4001</v>
      </c>
      <c r="B1881" t="s">
        <v>178</v>
      </c>
      <c r="C1881" t="s">
        <v>92</v>
      </c>
      <c r="D1881" t="s">
        <v>64</v>
      </c>
      <c r="E1881" t="s">
        <v>1404</v>
      </c>
      <c r="F1881" s="13">
        <v>1</v>
      </c>
      <c r="G1881" s="14">
        <v>1460.85</v>
      </c>
      <c r="H1881" s="13">
        <v>182</v>
      </c>
      <c r="I1881" t="s">
        <v>77</v>
      </c>
    </row>
    <row r="1882" spans="1:9" x14ac:dyDescent="0.3">
      <c r="A1882">
        <v>4181</v>
      </c>
      <c r="B1882" t="s">
        <v>1407</v>
      </c>
      <c r="C1882" t="s">
        <v>95</v>
      </c>
      <c r="D1882" t="s">
        <v>65</v>
      </c>
      <c r="E1882" t="s">
        <v>1404</v>
      </c>
      <c r="F1882" s="13">
        <v>2</v>
      </c>
      <c r="G1882" s="14">
        <v>4276.16</v>
      </c>
      <c r="H1882" s="13">
        <v>182</v>
      </c>
      <c r="I1882" t="s">
        <v>77</v>
      </c>
    </row>
    <row r="1883" spans="1:9" x14ac:dyDescent="0.3">
      <c r="A1883">
        <v>6391</v>
      </c>
      <c r="B1883" t="s">
        <v>1408</v>
      </c>
      <c r="C1883" t="s">
        <v>97</v>
      </c>
      <c r="D1883" t="s">
        <v>65</v>
      </c>
      <c r="E1883" t="s">
        <v>1404</v>
      </c>
      <c r="F1883" s="13">
        <v>1</v>
      </c>
      <c r="G1883" s="14">
        <v>1160.6500000000001</v>
      </c>
      <c r="H1883" s="13">
        <v>182</v>
      </c>
      <c r="I1883" t="s">
        <v>77</v>
      </c>
    </row>
    <row r="1884" spans="1:9" x14ac:dyDescent="0.3">
      <c r="A1884">
        <v>6412</v>
      </c>
      <c r="B1884" t="s">
        <v>1409</v>
      </c>
      <c r="C1884" t="s">
        <v>97</v>
      </c>
      <c r="D1884" t="s">
        <v>65</v>
      </c>
      <c r="E1884" t="s">
        <v>1404</v>
      </c>
      <c r="F1884" s="13">
        <v>2</v>
      </c>
      <c r="G1884" s="14">
        <v>2032.35</v>
      </c>
      <c r="H1884" s="13">
        <v>182</v>
      </c>
      <c r="I1884" t="s">
        <v>77</v>
      </c>
    </row>
    <row r="1885" spans="1:9" x14ac:dyDescent="0.3">
      <c r="A1885">
        <v>6532</v>
      </c>
      <c r="B1885" t="s">
        <v>1410</v>
      </c>
      <c r="C1885" t="s">
        <v>95</v>
      </c>
      <c r="D1885" t="s">
        <v>65</v>
      </c>
      <c r="E1885" t="s">
        <v>1404</v>
      </c>
      <c r="F1885" s="13">
        <v>1</v>
      </c>
      <c r="G1885" s="14">
        <v>2850.62</v>
      </c>
      <c r="H1885" s="13">
        <v>182</v>
      </c>
      <c r="I1885" t="s">
        <v>77</v>
      </c>
    </row>
    <row r="1886" spans="1:9" x14ac:dyDescent="0.3">
      <c r="A1886">
        <v>7205</v>
      </c>
      <c r="B1886" t="s">
        <v>540</v>
      </c>
      <c r="C1886" t="s">
        <v>92</v>
      </c>
      <c r="D1886" t="s">
        <v>64</v>
      </c>
      <c r="E1886" t="s">
        <v>1404</v>
      </c>
      <c r="F1886" s="13">
        <v>5</v>
      </c>
      <c r="G1886" s="14">
        <v>18039.61</v>
      </c>
      <c r="H1886" s="13">
        <v>182</v>
      </c>
      <c r="I1886" t="s">
        <v>77</v>
      </c>
    </row>
    <row r="1887" spans="1:9" x14ac:dyDescent="0.3">
      <c r="A1887">
        <v>7558</v>
      </c>
      <c r="B1887" t="s">
        <v>1411</v>
      </c>
      <c r="C1887" t="s">
        <v>90</v>
      </c>
      <c r="D1887" t="s">
        <v>66</v>
      </c>
      <c r="E1887" t="s">
        <v>1404</v>
      </c>
      <c r="F1887" s="13">
        <v>1</v>
      </c>
      <c r="G1887" s="14">
        <v>5658.79</v>
      </c>
      <c r="H1887" s="13">
        <v>182</v>
      </c>
      <c r="I1887" t="s">
        <v>77</v>
      </c>
    </row>
    <row r="1888" spans="1:9" x14ac:dyDescent="0.3">
      <c r="A1888">
        <v>8086</v>
      </c>
      <c r="B1888" t="s">
        <v>89</v>
      </c>
      <c r="C1888" t="s">
        <v>133</v>
      </c>
      <c r="D1888" t="s">
        <v>64</v>
      </c>
      <c r="E1888" t="s">
        <v>1404</v>
      </c>
      <c r="F1888" s="13">
        <v>1</v>
      </c>
      <c r="G1888" s="14">
        <v>2300.86</v>
      </c>
      <c r="H1888" s="13">
        <v>182</v>
      </c>
      <c r="I1888" t="s">
        <v>77</v>
      </c>
    </row>
    <row r="1889" spans="1:9" x14ac:dyDescent="0.3">
      <c r="A1889">
        <v>8208</v>
      </c>
      <c r="B1889" t="s">
        <v>135</v>
      </c>
      <c r="C1889" t="s">
        <v>156</v>
      </c>
      <c r="D1889" t="s">
        <v>68</v>
      </c>
      <c r="E1889" t="s">
        <v>1404</v>
      </c>
      <c r="F1889" s="13">
        <v>1</v>
      </c>
      <c r="G1889" s="14">
        <v>4534.5200000000004</v>
      </c>
      <c r="H1889" s="13">
        <v>182</v>
      </c>
      <c r="I1889" t="s">
        <v>77</v>
      </c>
    </row>
    <row r="1890" spans="1:9" x14ac:dyDescent="0.3">
      <c r="A1890">
        <v>8465</v>
      </c>
      <c r="B1890" t="s">
        <v>371</v>
      </c>
      <c r="C1890" t="s">
        <v>92</v>
      </c>
      <c r="D1890" t="s">
        <v>64</v>
      </c>
      <c r="E1890" t="s">
        <v>1404</v>
      </c>
      <c r="F1890" s="13">
        <v>3</v>
      </c>
      <c r="G1890" s="14">
        <v>8774.07</v>
      </c>
      <c r="H1890" s="13">
        <v>182</v>
      </c>
      <c r="I1890" t="s">
        <v>77</v>
      </c>
    </row>
    <row r="1891" spans="1:9" x14ac:dyDescent="0.3">
      <c r="A1891">
        <v>8709</v>
      </c>
      <c r="B1891" t="s">
        <v>302</v>
      </c>
      <c r="C1891" t="s">
        <v>92</v>
      </c>
      <c r="D1891" t="s">
        <v>64</v>
      </c>
      <c r="E1891" t="s">
        <v>1404</v>
      </c>
      <c r="F1891" s="13">
        <v>2</v>
      </c>
      <c r="G1891" s="14">
        <v>4001.02</v>
      </c>
      <c r="H1891" s="13">
        <v>182</v>
      </c>
      <c r="I1891" t="s">
        <v>77</v>
      </c>
    </row>
    <row r="1892" spans="1:9" x14ac:dyDescent="0.3">
      <c r="A1892">
        <v>8974</v>
      </c>
      <c r="B1892" t="s">
        <v>94</v>
      </c>
      <c r="C1892" t="s">
        <v>137</v>
      </c>
      <c r="D1892" t="s">
        <v>64</v>
      </c>
      <c r="E1892" t="s">
        <v>1404</v>
      </c>
      <c r="F1892" s="13">
        <v>2</v>
      </c>
      <c r="G1892" s="14">
        <v>2699.72</v>
      </c>
      <c r="H1892" s="13">
        <v>182</v>
      </c>
      <c r="I1892" t="s">
        <v>77</v>
      </c>
    </row>
    <row r="1893" spans="1:9" x14ac:dyDescent="0.3">
      <c r="A1893">
        <v>1639</v>
      </c>
      <c r="B1893" t="s">
        <v>253</v>
      </c>
      <c r="C1893" t="s">
        <v>92</v>
      </c>
      <c r="D1893" t="s">
        <v>64</v>
      </c>
      <c r="E1893" t="s">
        <v>1412</v>
      </c>
      <c r="F1893" s="13">
        <v>2</v>
      </c>
      <c r="G1893" s="14">
        <v>2227.61</v>
      </c>
      <c r="H1893" s="13">
        <v>181</v>
      </c>
      <c r="I1893" t="s">
        <v>77</v>
      </c>
    </row>
    <row r="1894" spans="1:9" x14ac:dyDescent="0.3">
      <c r="A1894">
        <v>3871</v>
      </c>
      <c r="B1894" t="s">
        <v>615</v>
      </c>
      <c r="C1894" t="s">
        <v>90</v>
      </c>
      <c r="D1894" t="s">
        <v>66</v>
      </c>
      <c r="E1894" t="s">
        <v>1412</v>
      </c>
      <c r="F1894" s="13">
        <v>2</v>
      </c>
      <c r="G1894" s="14">
        <v>604.32000000000005</v>
      </c>
      <c r="H1894" s="13">
        <v>181</v>
      </c>
      <c r="I1894" t="s">
        <v>77</v>
      </c>
    </row>
    <row r="1895" spans="1:9" x14ac:dyDescent="0.3">
      <c r="A1895">
        <v>5260</v>
      </c>
      <c r="B1895" t="s">
        <v>582</v>
      </c>
      <c r="C1895" t="s">
        <v>92</v>
      </c>
      <c r="D1895" t="s">
        <v>64</v>
      </c>
      <c r="E1895" t="s">
        <v>1412</v>
      </c>
      <c r="F1895" s="13">
        <v>1</v>
      </c>
      <c r="G1895" s="14">
        <v>1673.15</v>
      </c>
      <c r="H1895" s="13">
        <v>181</v>
      </c>
      <c r="I1895" t="s">
        <v>77</v>
      </c>
    </row>
    <row r="1896" spans="1:9" x14ac:dyDescent="0.3">
      <c r="A1896">
        <v>5585</v>
      </c>
      <c r="B1896" t="s">
        <v>605</v>
      </c>
      <c r="C1896" t="s">
        <v>473</v>
      </c>
      <c r="D1896" t="s">
        <v>68</v>
      </c>
      <c r="E1896" t="s">
        <v>1412</v>
      </c>
      <c r="F1896" s="13">
        <v>2</v>
      </c>
      <c r="G1896" s="14">
        <v>2859.88</v>
      </c>
      <c r="H1896" s="13">
        <v>181</v>
      </c>
      <c r="I1896" t="s">
        <v>77</v>
      </c>
    </row>
    <row r="1897" spans="1:9" x14ac:dyDescent="0.3">
      <c r="A1897">
        <v>5850</v>
      </c>
      <c r="B1897" t="s">
        <v>1413</v>
      </c>
      <c r="C1897" t="s">
        <v>95</v>
      </c>
      <c r="D1897" t="s">
        <v>65</v>
      </c>
      <c r="E1897" t="s">
        <v>1412</v>
      </c>
      <c r="F1897" s="13">
        <v>2</v>
      </c>
      <c r="G1897" s="14">
        <v>7169.26</v>
      </c>
      <c r="H1897" s="13">
        <v>181</v>
      </c>
      <c r="I1897" t="s">
        <v>77</v>
      </c>
    </row>
    <row r="1898" spans="1:9" x14ac:dyDescent="0.3">
      <c r="A1898">
        <v>5978</v>
      </c>
      <c r="B1898" t="s">
        <v>509</v>
      </c>
      <c r="C1898" t="s">
        <v>97</v>
      </c>
      <c r="D1898" t="s">
        <v>65</v>
      </c>
      <c r="E1898" t="s">
        <v>1412</v>
      </c>
      <c r="F1898" s="13">
        <v>1</v>
      </c>
      <c r="G1898" s="14">
        <v>9879.2900000000009</v>
      </c>
      <c r="H1898" s="13">
        <v>181</v>
      </c>
      <c r="I1898" t="s">
        <v>77</v>
      </c>
    </row>
    <row r="1899" spans="1:9" x14ac:dyDescent="0.3">
      <c r="A1899">
        <v>5991</v>
      </c>
      <c r="B1899" t="s">
        <v>415</v>
      </c>
      <c r="C1899" t="s">
        <v>137</v>
      </c>
      <c r="D1899" t="s">
        <v>64</v>
      </c>
      <c r="E1899" t="s">
        <v>1412</v>
      </c>
      <c r="F1899" s="13">
        <v>1</v>
      </c>
      <c r="G1899" s="14">
        <v>574.80999999999995</v>
      </c>
      <c r="H1899" s="13">
        <v>181</v>
      </c>
      <c r="I1899" t="s">
        <v>77</v>
      </c>
    </row>
    <row r="1900" spans="1:9" x14ac:dyDescent="0.3">
      <c r="A1900">
        <v>6834</v>
      </c>
      <c r="B1900" t="s">
        <v>333</v>
      </c>
      <c r="C1900" t="s">
        <v>121</v>
      </c>
      <c r="D1900" t="s">
        <v>67</v>
      </c>
      <c r="E1900" t="s">
        <v>1412</v>
      </c>
      <c r="F1900" s="13">
        <v>2</v>
      </c>
      <c r="G1900" s="14">
        <v>8293.4599999999991</v>
      </c>
      <c r="H1900" s="13">
        <v>181</v>
      </c>
      <c r="I1900" t="s">
        <v>77</v>
      </c>
    </row>
    <row r="1901" spans="1:9" x14ac:dyDescent="0.3">
      <c r="A1901">
        <v>7344</v>
      </c>
      <c r="B1901" t="s">
        <v>1414</v>
      </c>
      <c r="C1901" t="s">
        <v>92</v>
      </c>
      <c r="D1901" t="s">
        <v>64</v>
      </c>
      <c r="E1901" t="s">
        <v>1412</v>
      </c>
      <c r="F1901" s="13">
        <v>6</v>
      </c>
      <c r="G1901" s="14">
        <v>5361.11</v>
      </c>
      <c r="H1901" s="13">
        <v>181</v>
      </c>
      <c r="I1901" t="s">
        <v>77</v>
      </c>
    </row>
    <row r="1902" spans="1:9" x14ac:dyDescent="0.3">
      <c r="A1902">
        <v>59</v>
      </c>
      <c r="B1902" t="s">
        <v>1415</v>
      </c>
      <c r="C1902" t="s">
        <v>137</v>
      </c>
      <c r="D1902" t="s">
        <v>64</v>
      </c>
      <c r="E1902" t="s">
        <v>1416</v>
      </c>
      <c r="F1902" s="13">
        <v>1</v>
      </c>
      <c r="G1902" s="14">
        <v>2018.83</v>
      </c>
      <c r="H1902" s="13">
        <v>180</v>
      </c>
      <c r="I1902" t="s">
        <v>77</v>
      </c>
    </row>
    <row r="1903" spans="1:9" x14ac:dyDescent="0.3">
      <c r="A1903">
        <v>201</v>
      </c>
      <c r="B1903" t="s">
        <v>505</v>
      </c>
      <c r="C1903" t="s">
        <v>133</v>
      </c>
      <c r="D1903" t="s">
        <v>64</v>
      </c>
      <c r="E1903" t="s">
        <v>1416</v>
      </c>
      <c r="F1903" s="13">
        <v>1</v>
      </c>
      <c r="G1903" s="14">
        <v>249.06</v>
      </c>
      <c r="H1903" s="13">
        <v>180</v>
      </c>
      <c r="I1903" t="s">
        <v>77</v>
      </c>
    </row>
    <row r="1904" spans="1:9" x14ac:dyDescent="0.3">
      <c r="A1904">
        <v>244</v>
      </c>
      <c r="B1904" t="s">
        <v>1417</v>
      </c>
      <c r="C1904" t="s">
        <v>92</v>
      </c>
      <c r="D1904" t="s">
        <v>64</v>
      </c>
      <c r="E1904" t="s">
        <v>1416</v>
      </c>
      <c r="F1904" s="13">
        <v>1</v>
      </c>
      <c r="G1904" s="14">
        <v>571.24</v>
      </c>
      <c r="H1904" s="13">
        <v>180</v>
      </c>
      <c r="I1904" t="s">
        <v>77</v>
      </c>
    </row>
    <row r="1905" spans="1:9" x14ac:dyDescent="0.3">
      <c r="A1905">
        <v>364</v>
      </c>
      <c r="B1905" t="s">
        <v>1418</v>
      </c>
      <c r="C1905" t="s">
        <v>137</v>
      </c>
      <c r="D1905" t="s">
        <v>64</v>
      </c>
      <c r="E1905" t="s">
        <v>1416</v>
      </c>
      <c r="F1905" s="13">
        <v>1</v>
      </c>
      <c r="G1905" s="14">
        <v>2373.2399999999998</v>
      </c>
      <c r="H1905" s="13">
        <v>180</v>
      </c>
      <c r="I1905" t="s">
        <v>77</v>
      </c>
    </row>
    <row r="1906" spans="1:9" x14ac:dyDescent="0.3">
      <c r="A1906">
        <v>1439</v>
      </c>
      <c r="B1906" t="s">
        <v>386</v>
      </c>
      <c r="C1906" t="s">
        <v>123</v>
      </c>
      <c r="D1906" t="s">
        <v>65</v>
      </c>
      <c r="E1906" t="s">
        <v>1416</v>
      </c>
      <c r="F1906" s="13">
        <v>1</v>
      </c>
      <c r="G1906" s="14">
        <v>4509.7299999999996</v>
      </c>
      <c r="H1906" s="13">
        <v>180</v>
      </c>
      <c r="I1906" t="s">
        <v>77</v>
      </c>
    </row>
    <row r="1907" spans="1:9" x14ac:dyDescent="0.3">
      <c r="A1907">
        <v>1464</v>
      </c>
      <c r="B1907" t="s">
        <v>191</v>
      </c>
      <c r="C1907" t="s">
        <v>114</v>
      </c>
      <c r="D1907" t="s">
        <v>66</v>
      </c>
      <c r="E1907" t="s">
        <v>1416</v>
      </c>
      <c r="F1907" s="13">
        <v>1</v>
      </c>
      <c r="G1907" s="14">
        <v>2243.6</v>
      </c>
      <c r="H1907" s="13">
        <v>180</v>
      </c>
      <c r="I1907" t="s">
        <v>77</v>
      </c>
    </row>
    <row r="1908" spans="1:9" x14ac:dyDescent="0.3">
      <c r="A1908">
        <v>5291</v>
      </c>
      <c r="B1908" t="s">
        <v>449</v>
      </c>
      <c r="C1908" t="s">
        <v>249</v>
      </c>
      <c r="D1908" t="s">
        <v>67</v>
      </c>
      <c r="E1908" t="s">
        <v>1416</v>
      </c>
      <c r="F1908" s="13">
        <v>1</v>
      </c>
      <c r="G1908" s="14">
        <v>648.89</v>
      </c>
      <c r="H1908" s="13">
        <v>180</v>
      </c>
      <c r="I1908" t="s">
        <v>77</v>
      </c>
    </row>
    <row r="1909" spans="1:9" x14ac:dyDescent="0.3">
      <c r="A1909">
        <v>6656</v>
      </c>
      <c r="B1909" t="s">
        <v>1419</v>
      </c>
      <c r="C1909" t="s">
        <v>133</v>
      </c>
      <c r="D1909" t="s">
        <v>64</v>
      </c>
      <c r="E1909" t="s">
        <v>1416</v>
      </c>
      <c r="F1909" s="13">
        <v>1</v>
      </c>
      <c r="G1909" s="14">
        <v>577.24</v>
      </c>
      <c r="H1909" s="13">
        <v>180</v>
      </c>
      <c r="I1909" t="s">
        <v>77</v>
      </c>
    </row>
    <row r="1910" spans="1:9" x14ac:dyDescent="0.3">
      <c r="A1910">
        <v>7676</v>
      </c>
      <c r="B1910" t="s">
        <v>505</v>
      </c>
      <c r="C1910" t="s">
        <v>90</v>
      </c>
      <c r="D1910" t="s">
        <v>66</v>
      </c>
      <c r="E1910" t="s">
        <v>1416</v>
      </c>
      <c r="F1910" s="13">
        <v>1</v>
      </c>
      <c r="G1910" s="14">
        <v>7056.59</v>
      </c>
      <c r="H1910" s="13">
        <v>180</v>
      </c>
      <c r="I1910" t="s">
        <v>77</v>
      </c>
    </row>
    <row r="1911" spans="1:9" x14ac:dyDescent="0.3">
      <c r="A1911">
        <v>8947</v>
      </c>
      <c r="B1911" t="s">
        <v>1420</v>
      </c>
      <c r="C1911" t="s">
        <v>114</v>
      </c>
      <c r="D1911" t="s">
        <v>66</v>
      </c>
      <c r="E1911" t="s">
        <v>1416</v>
      </c>
      <c r="F1911" s="13">
        <v>2</v>
      </c>
      <c r="G1911" s="14">
        <v>1932.4</v>
      </c>
      <c r="H1911" s="13">
        <v>180</v>
      </c>
      <c r="I1911" t="s">
        <v>77</v>
      </c>
    </row>
    <row r="1912" spans="1:9" x14ac:dyDescent="0.3">
      <c r="A1912">
        <v>553</v>
      </c>
      <c r="B1912" t="s">
        <v>364</v>
      </c>
      <c r="C1912" t="s">
        <v>92</v>
      </c>
      <c r="D1912" t="s">
        <v>64</v>
      </c>
      <c r="E1912" t="s">
        <v>1421</v>
      </c>
      <c r="F1912" s="13">
        <v>1</v>
      </c>
      <c r="G1912" s="14">
        <v>2653.12</v>
      </c>
      <c r="H1912" s="13">
        <v>179</v>
      </c>
      <c r="I1912" t="s">
        <v>76</v>
      </c>
    </row>
    <row r="1913" spans="1:9" x14ac:dyDescent="0.3">
      <c r="A1913">
        <v>1390</v>
      </c>
      <c r="B1913" t="s">
        <v>86</v>
      </c>
      <c r="C1913" t="s">
        <v>92</v>
      </c>
      <c r="D1913" t="s">
        <v>64</v>
      </c>
      <c r="E1913" t="s">
        <v>1421</v>
      </c>
      <c r="F1913" s="13">
        <v>2</v>
      </c>
      <c r="G1913" s="14">
        <v>2914.77</v>
      </c>
      <c r="H1913" s="13">
        <v>179</v>
      </c>
      <c r="I1913" t="s">
        <v>76</v>
      </c>
    </row>
    <row r="1914" spans="1:9" x14ac:dyDescent="0.3">
      <c r="A1914">
        <v>2028</v>
      </c>
      <c r="B1914" t="s">
        <v>1422</v>
      </c>
      <c r="C1914" t="s">
        <v>133</v>
      </c>
      <c r="D1914" t="s">
        <v>64</v>
      </c>
      <c r="E1914" t="s">
        <v>1421</v>
      </c>
      <c r="F1914" s="13">
        <v>2</v>
      </c>
      <c r="G1914" s="14">
        <v>867.95</v>
      </c>
      <c r="H1914" s="13">
        <v>179</v>
      </c>
      <c r="I1914" t="s">
        <v>76</v>
      </c>
    </row>
    <row r="1915" spans="1:9" x14ac:dyDescent="0.3">
      <c r="A1915">
        <v>2509</v>
      </c>
      <c r="B1915" t="s">
        <v>1423</v>
      </c>
      <c r="C1915" t="s">
        <v>137</v>
      </c>
      <c r="D1915" t="s">
        <v>64</v>
      </c>
      <c r="E1915" t="s">
        <v>1421</v>
      </c>
      <c r="F1915" s="13">
        <v>1</v>
      </c>
      <c r="G1915" s="14">
        <v>447.06</v>
      </c>
      <c r="H1915" s="13">
        <v>179</v>
      </c>
      <c r="I1915" t="s">
        <v>76</v>
      </c>
    </row>
    <row r="1916" spans="1:9" x14ac:dyDescent="0.3">
      <c r="A1916">
        <v>2962</v>
      </c>
      <c r="B1916" t="s">
        <v>1424</v>
      </c>
      <c r="C1916" t="s">
        <v>137</v>
      </c>
      <c r="D1916" t="s">
        <v>64</v>
      </c>
      <c r="E1916" t="s">
        <v>1421</v>
      </c>
      <c r="F1916" s="13">
        <v>5</v>
      </c>
      <c r="G1916" s="14">
        <v>4906.55</v>
      </c>
      <c r="H1916" s="13">
        <v>179</v>
      </c>
      <c r="I1916" t="s">
        <v>76</v>
      </c>
    </row>
    <row r="1917" spans="1:9" x14ac:dyDescent="0.3">
      <c r="A1917">
        <v>3642</v>
      </c>
      <c r="B1917" t="s">
        <v>448</v>
      </c>
      <c r="C1917" t="s">
        <v>114</v>
      </c>
      <c r="D1917" t="s">
        <v>66</v>
      </c>
      <c r="E1917" t="s">
        <v>1421</v>
      </c>
      <c r="F1917" s="13">
        <v>2</v>
      </c>
      <c r="G1917" s="14">
        <v>4652.71</v>
      </c>
      <c r="H1917" s="13">
        <v>179</v>
      </c>
      <c r="I1917" t="s">
        <v>76</v>
      </c>
    </row>
    <row r="1918" spans="1:9" x14ac:dyDescent="0.3">
      <c r="A1918">
        <v>4079</v>
      </c>
      <c r="B1918" t="s">
        <v>1379</v>
      </c>
      <c r="C1918" t="s">
        <v>103</v>
      </c>
      <c r="D1918" t="s">
        <v>67</v>
      </c>
      <c r="E1918" t="s">
        <v>1421</v>
      </c>
      <c r="F1918" s="13">
        <v>2</v>
      </c>
      <c r="G1918" s="14">
        <v>2259.16</v>
      </c>
      <c r="H1918" s="13">
        <v>179</v>
      </c>
      <c r="I1918" t="s">
        <v>76</v>
      </c>
    </row>
    <row r="1919" spans="1:9" x14ac:dyDescent="0.3">
      <c r="A1919">
        <v>7056</v>
      </c>
      <c r="B1919" t="s">
        <v>992</v>
      </c>
      <c r="C1919" t="s">
        <v>92</v>
      </c>
      <c r="D1919" t="s">
        <v>64</v>
      </c>
      <c r="E1919" t="s">
        <v>1421</v>
      </c>
      <c r="F1919" s="13">
        <v>2</v>
      </c>
      <c r="G1919" s="14">
        <v>3804.33</v>
      </c>
      <c r="H1919" s="13">
        <v>179</v>
      </c>
      <c r="I1919" t="s">
        <v>76</v>
      </c>
    </row>
    <row r="1920" spans="1:9" x14ac:dyDescent="0.3">
      <c r="A1920">
        <v>7123</v>
      </c>
      <c r="B1920" t="s">
        <v>342</v>
      </c>
      <c r="C1920" t="s">
        <v>92</v>
      </c>
      <c r="D1920" t="s">
        <v>64</v>
      </c>
      <c r="E1920" t="s">
        <v>1421</v>
      </c>
      <c r="F1920" s="13">
        <v>1</v>
      </c>
      <c r="G1920" s="14">
        <v>1917.11</v>
      </c>
      <c r="H1920" s="13">
        <v>179</v>
      </c>
      <c r="I1920" t="s">
        <v>76</v>
      </c>
    </row>
    <row r="1921" spans="1:9" x14ac:dyDescent="0.3">
      <c r="A1921">
        <v>7858</v>
      </c>
      <c r="B1921" t="s">
        <v>169</v>
      </c>
      <c r="C1921" t="s">
        <v>137</v>
      </c>
      <c r="D1921" t="s">
        <v>64</v>
      </c>
      <c r="E1921" t="s">
        <v>1421</v>
      </c>
      <c r="F1921" s="13">
        <v>1</v>
      </c>
      <c r="G1921" s="14">
        <v>508.55</v>
      </c>
      <c r="H1921" s="13">
        <v>179</v>
      </c>
      <c r="I1921" t="s">
        <v>76</v>
      </c>
    </row>
    <row r="1922" spans="1:9" x14ac:dyDescent="0.3">
      <c r="A1922">
        <v>8547</v>
      </c>
      <c r="B1922" t="s">
        <v>1425</v>
      </c>
      <c r="C1922" t="s">
        <v>92</v>
      </c>
      <c r="D1922" t="s">
        <v>64</v>
      </c>
      <c r="E1922" t="s">
        <v>1421</v>
      </c>
      <c r="F1922" s="13">
        <v>1</v>
      </c>
      <c r="G1922" s="14">
        <v>107.89</v>
      </c>
      <c r="H1922" s="13">
        <v>179</v>
      </c>
      <c r="I1922" t="s">
        <v>76</v>
      </c>
    </row>
    <row r="1923" spans="1:9" x14ac:dyDescent="0.3">
      <c r="A1923">
        <v>8785</v>
      </c>
      <c r="B1923" t="s">
        <v>1426</v>
      </c>
      <c r="C1923" t="s">
        <v>133</v>
      </c>
      <c r="D1923" t="s">
        <v>64</v>
      </c>
      <c r="E1923" t="s">
        <v>1421</v>
      </c>
      <c r="F1923" s="13">
        <v>4</v>
      </c>
      <c r="G1923" s="14">
        <v>11527.75</v>
      </c>
      <c r="H1923" s="13">
        <v>179</v>
      </c>
      <c r="I1923" t="s">
        <v>76</v>
      </c>
    </row>
    <row r="1924" spans="1:9" x14ac:dyDescent="0.3">
      <c r="A1924">
        <v>343</v>
      </c>
      <c r="B1924" t="s">
        <v>176</v>
      </c>
      <c r="C1924" t="s">
        <v>92</v>
      </c>
      <c r="D1924" t="s">
        <v>64</v>
      </c>
      <c r="E1924" t="s">
        <v>1427</v>
      </c>
      <c r="F1924" s="13">
        <v>2</v>
      </c>
      <c r="G1924" s="14">
        <v>2961.57</v>
      </c>
      <c r="H1924" s="13">
        <v>178</v>
      </c>
      <c r="I1924" t="s">
        <v>76</v>
      </c>
    </row>
    <row r="1925" spans="1:9" x14ac:dyDescent="0.3">
      <c r="A1925">
        <v>1197</v>
      </c>
      <c r="B1925" t="s">
        <v>466</v>
      </c>
      <c r="C1925" t="s">
        <v>137</v>
      </c>
      <c r="D1925" t="s">
        <v>64</v>
      </c>
      <c r="E1925" t="s">
        <v>1427</v>
      </c>
      <c r="F1925" s="13">
        <v>2</v>
      </c>
      <c r="G1925" s="14">
        <v>2258.52</v>
      </c>
      <c r="H1925" s="13">
        <v>178</v>
      </c>
      <c r="I1925" t="s">
        <v>76</v>
      </c>
    </row>
    <row r="1926" spans="1:9" x14ac:dyDescent="0.3">
      <c r="A1926">
        <v>1225</v>
      </c>
      <c r="B1926" t="s">
        <v>1428</v>
      </c>
      <c r="C1926" t="s">
        <v>92</v>
      </c>
      <c r="D1926" t="s">
        <v>64</v>
      </c>
      <c r="E1926" t="s">
        <v>1427</v>
      </c>
      <c r="F1926" s="13">
        <v>6</v>
      </c>
      <c r="G1926" s="14">
        <v>13405.16</v>
      </c>
      <c r="H1926" s="13">
        <v>178</v>
      </c>
      <c r="I1926" t="s">
        <v>76</v>
      </c>
    </row>
    <row r="1927" spans="1:9" x14ac:dyDescent="0.3">
      <c r="A1927">
        <v>1383</v>
      </c>
      <c r="B1927" t="s">
        <v>1429</v>
      </c>
      <c r="C1927" t="s">
        <v>123</v>
      </c>
      <c r="D1927" t="s">
        <v>65</v>
      </c>
      <c r="E1927" t="s">
        <v>1427</v>
      </c>
      <c r="F1927" s="13">
        <v>1</v>
      </c>
      <c r="G1927" s="14">
        <v>3427.42</v>
      </c>
      <c r="H1927" s="13">
        <v>178</v>
      </c>
      <c r="I1927" t="s">
        <v>76</v>
      </c>
    </row>
    <row r="1928" spans="1:9" x14ac:dyDescent="0.3">
      <c r="A1928">
        <v>1890</v>
      </c>
      <c r="B1928" t="s">
        <v>327</v>
      </c>
      <c r="C1928" t="s">
        <v>90</v>
      </c>
      <c r="D1928" t="s">
        <v>66</v>
      </c>
      <c r="E1928" t="s">
        <v>1427</v>
      </c>
      <c r="F1928" s="13">
        <v>2</v>
      </c>
      <c r="G1928" s="14">
        <v>1918.67</v>
      </c>
      <c r="H1928" s="13">
        <v>178</v>
      </c>
      <c r="I1928" t="s">
        <v>76</v>
      </c>
    </row>
    <row r="1929" spans="1:9" x14ac:dyDescent="0.3">
      <c r="A1929">
        <v>2383</v>
      </c>
      <c r="B1929" t="s">
        <v>1430</v>
      </c>
      <c r="C1929" t="s">
        <v>249</v>
      </c>
      <c r="D1929" t="s">
        <v>67</v>
      </c>
      <c r="E1929" t="s">
        <v>1427</v>
      </c>
      <c r="F1929" s="13">
        <v>2</v>
      </c>
      <c r="G1929" s="14">
        <v>2510.52</v>
      </c>
      <c r="H1929" s="13">
        <v>178</v>
      </c>
      <c r="I1929" t="s">
        <v>76</v>
      </c>
    </row>
    <row r="1930" spans="1:9" x14ac:dyDescent="0.3">
      <c r="A1930">
        <v>2536</v>
      </c>
      <c r="B1930" t="s">
        <v>1431</v>
      </c>
      <c r="C1930" t="s">
        <v>92</v>
      </c>
      <c r="D1930" t="s">
        <v>64</v>
      </c>
      <c r="E1930" t="s">
        <v>1427</v>
      </c>
      <c r="F1930" s="13">
        <v>1</v>
      </c>
      <c r="G1930" s="14">
        <v>1012.54</v>
      </c>
      <c r="H1930" s="13">
        <v>178</v>
      </c>
      <c r="I1930" t="s">
        <v>76</v>
      </c>
    </row>
    <row r="1931" spans="1:9" x14ac:dyDescent="0.3">
      <c r="A1931">
        <v>2924</v>
      </c>
      <c r="B1931" t="s">
        <v>1432</v>
      </c>
      <c r="C1931" t="s">
        <v>137</v>
      </c>
      <c r="D1931" t="s">
        <v>64</v>
      </c>
      <c r="E1931" t="s">
        <v>1427</v>
      </c>
      <c r="F1931" s="13">
        <v>1</v>
      </c>
      <c r="G1931" s="14">
        <v>117.76</v>
      </c>
      <c r="H1931" s="13">
        <v>178</v>
      </c>
      <c r="I1931" t="s">
        <v>76</v>
      </c>
    </row>
    <row r="1932" spans="1:9" x14ac:dyDescent="0.3">
      <c r="A1932">
        <v>4121</v>
      </c>
      <c r="B1932" t="s">
        <v>153</v>
      </c>
      <c r="C1932" t="s">
        <v>133</v>
      </c>
      <c r="D1932" t="s">
        <v>64</v>
      </c>
      <c r="E1932" t="s">
        <v>1427</v>
      </c>
      <c r="F1932" s="13">
        <v>1</v>
      </c>
      <c r="G1932" s="14">
        <v>2450.4499999999998</v>
      </c>
      <c r="H1932" s="13">
        <v>178</v>
      </c>
      <c r="I1932" t="s">
        <v>76</v>
      </c>
    </row>
    <row r="1933" spans="1:9" x14ac:dyDescent="0.3">
      <c r="A1933">
        <v>4464</v>
      </c>
      <c r="B1933" t="s">
        <v>1433</v>
      </c>
      <c r="C1933" t="s">
        <v>92</v>
      </c>
      <c r="D1933" t="s">
        <v>64</v>
      </c>
      <c r="E1933" t="s">
        <v>1427</v>
      </c>
      <c r="F1933" s="13">
        <v>2</v>
      </c>
      <c r="G1933" s="14">
        <v>9255.52</v>
      </c>
      <c r="H1933" s="13">
        <v>178</v>
      </c>
      <c r="I1933" t="s">
        <v>76</v>
      </c>
    </row>
    <row r="1934" spans="1:9" x14ac:dyDescent="0.3">
      <c r="A1934">
        <v>4811</v>
      </c>
      <c r="B1934" t="s">
        <v>460</v>
      </c>
      <c r="C1934" t="s">
        <v>103</v>
      </c>
      <c r="D1934" t="s">
        <v>67</v>
      </c>
      <c r="E1934" t="s">
        <v>1427</v>
      </c>
      <c r="F1934" s="13">
        <v>9</v>
      </c>
      <c r="G1934" s="14">
        <v>12081.56</v>
      </c>
      <c r="H1934" s="13">
        <v>178</v>
      </c>
      <c r="I1934" t="s">
        <v>76</v>
      </c>
    </row>
    <row r="1935" spans="1:9" x14ac:dyDescent="0.3">
      <c r="A1935">
        <v>4847</v>
      </c>
      <c r="B1935" t="s">
        <v>138</v>
      </c>
      <c r="C1935" t="s">
        <v>137</v>
      </c>
      <c r="D1935" t="s">
        <v>64</v>
      </c>
      <c r="E1935" t="s">
        <v>1427</v>
      </c>
      <c r="F1935" s="13">
        <v>3</v>
      </c>
      <c r="G1935" s="14">
        <v>1807.3</v>
      </c>
      <c r="H1935" s="13">
        <v>178</v>
      </c>
      <c r="I1935" t="s">
        <v>76</v>
      </c>
    </row>
    <row r="1936" spans="1:9" x14ac:dyDescent="0.3">
      <c r="A1936">
        <v>5863</v>
      </c>
      <c r="B1936" t="s">
        <v>201</v>
      </c>
      <c r="C1936" t="s">
        <v>137</v>
      </c>
      <c r="D1936" t="s">
        <v>64</v>
      </c>
      <c r="E1936" t="s">
        <v>1427</v>
      </c>
      <c r="F1936" s="13">
        <v>1</v>
      </c>
      <c r="G1936" s="14">
        <v>459.48</v>
      </c>
      <c r="H1936" s="13">
        <v>178</v>
      </c>
      <c r="I1936" t="s">
        <v>76</v>
      </c>
    </row>
    <row r="1937" spans="1:9" x14ac:dyDescent="0.3">
      <c r="A1937">
        <v>6669</v>
      </c>
      <c r="B1937" t="s">
        <v>1434</v>
      </c>
      <c r="C1937" t="s">
        <v>92</v>
      </c>
      <c r="D1937" t="s">
        <v>64</v>
      </c>
      <c r="E1937" t="s">
        <v>1427</v>
      </c>
      <c r="F1937" s="13">
        <v>2</v>
      </c>
      <c r="G1937" s="14">
        <v>1919.56</v>
      </c>
      <c r="H1937" s="13">
        <v>178</v>
      </c>
      <c r="I1937" t="s">
        <v>76</v>
      </c>
    </row>
    <row r="1938" spans="1:9" x14ac:dyDescent="0.3">
      <c r="A1938">
        <v>312</v>
      </c>
      <c r="B1938" t="s">
        <v>253</v>
      </c>
      <c r="C1938" t="s">
        <v>133</v>
      </c>
      <c r="D1938" t="s">
        <v>64</v>
      </c>
      <c r="E1938" t="s">
        <v>1435</v>
      </c>
      <c r="F1938" s="13">
        <v>1</v>
      </c>
      <c r="G1938" s="14">
        <v>5490.08</v>
      </c>
      <c r="H1938" s="13">
        <v>177</v>
      </c>
      <c r="I1938" t="s">
        <v>76</v>
      </c>
    </row>
    <row r="1939" spans="1:9" x14ac:dyDescent="0.3">
      <c r="A1939">
        <v>322</v>
      </c>
      <c r="B1939" t="s">
        <v>546</v>
      </c>
      <c r="C1939" t="s">
        <v>92</v>
      </c>
      <c r="D1939" t="s">
        <v>64</v>
      </c>
      <c r="E1939" t="s">
        <v>1435</v>
      </c>
      <c r="F1939" s="13">
        <v>4</v>
      </c>
      <c r="G1939" s="14">
        <v>2923.02</v>
      </c>
      <c r="H1939" s="13">
        <v>177</v>
      </c>
      <c r="I1939" t="s">
        <v>76</v>
      </c>
    </row>
    <row r="1940" spans="1:9" x14ac:dyDescent="0.3">
      <c r="A1940">
        <v>2538</v>
      </c>
      <c r="B1940" t="s">
        <v>142</v>
      </c>
      <c r="C1940" t="s">
        <v>137</v>
      </c>
      <c r="D1940" t="s">
        <v>64</v>
      </c>
      <c r="E1940" t="s">
        <v>1435</v>
      </c>
      <c r="F1940" s="13">
        <v>1</v>
      </c>
      <c r="G1940" s="14">
        <v>1917.11</v>
      </c>
      <c r="H1940" s="13">
        <v>177</v>
      </c>
      <c r="I1940" t="s">
        <v>76</v>
      </c>
    </row>
    <row r="1941" spans="1:9" x14ac:dyDescent="0.3">
      <c r="A1941">
        <v>2685</v>
      </c>
      <c r="B1941" t="s">
        <v>366</v>
      </c>
      <c r="C1941" t="s">
        <v>92</v>
      </c>
      <c r="D1941" t="s">
        <v>64</v>
      </c>
      <c r="E1941" t="s">
        <v>1435</v>
      </c>
      <c r="F1941" s="13">
        <v>1</v>
      </c>
      <c r="G1941" s="14">
        <v>4507.82</v>
      </c>
      <c r="H1941" s="13">
        <v>177</v>
      </c>
      <c r="I1941" t="s">
        <v>76</v>
      </c>
    </row>
    <row r="1942" spans="1:9" x14ac:dyDescent="0.3">
      <c r="A1942">
        <v>3022</v>
      </c>
      <c r="B1942" t="s">
        <v>346</v>
      </c>
      <c r="C1942" t="s">
        <v>90</v>
      </c>
      <c r="D1942" t="s">
        <v>66</v>
      </c>
      <c r="E1942" t="s">
        <v>1435</v>
      </c>
      <c r="F1942" s="13">
        <v>3</v>
      </c>
      <c r="G1942" s="14">
        <v>10059.94</v>
      </c>
      <c r="H1942" s="13">
        <v>177</v>
      </c>
      <c r="I1942" t="s">
        <v>76</v>
      </c>
    </row>
    <row r="1943" spans="1:9" x14ac:dyDescent="0.3">
      <c r="A1943">
        <v>3176</v>
      </c>
      <c r="B1943" t="s">
        <v>1436</v>
      </c>
      <c r="C1943" t="s">
        <v>90</v>
      </c>
      <c r="D1943" t="s">
        <v>66</v>
      </c>
      <c r="E1943" t="s">
        <v>1435</v>
      </c>
      <c r="F1943" s="13">
        <v>3</v>
      </c>
      <c r="G1943" s="14">
        <v>9406.56</v>
      </c>
      <c r="H1943" s="13">
        <v>177</v>
      </c>
      <c r="I1943" t="s">
        <v>76</v>
      </c>
    </row>
    <row r="1944" spans="1:9" x14ac:dyDescent="0.3">
      <c r="A1944">
        <v>4073</v>
      </c>
      <c r="B1944" t="s">
        <v>1437</v>
      </c>
      <c r="C1944" t="s">
        <v>97</v>
      </c>
      <c r="D1944" t="s">
        <v>65</v>
      </c>
      <c r="E1944" t="s">
        <v>1435</v>
      </c>
      <c r="F1944" s="13">
        <v>1</v>
      </c>
      <c r="G1944" s="14">
        <v>254.08</v>
      </c>
      <c r="H1944" s="13">
        <v>177</v>
      </c>
      <c r="I1944" t="s">
        <v>76</v>
      </c>
    </row>
    <row r="1945" spans="1:9" x14ac:dyDescent="0.3">
      <c r="A1945">
        <v>5810</v>
      </c>
      <c r="B1945" t="s">
        <v>1438</v>
      </c>
      <c r="C1945" t="s">
        <v>133</v>
      </c>
      <c r="D1945" t="s">
        <v>64</v>
      </c>
      <c r="E1945" t="s">
        <v>1435</v>
      </c>
      <c r="F1945" s="13">
        <v>1</v>
      </c>
      <c r="G1945" s="14">
        <v>940.58</v>
      </c>
      <c r="H1945" s="13">
        <v>177</v>
      </c>
      <c r="I1945" t="s">
        <v>76</v>
      </c>
    </row>
    <row r="1946" spans="1:9" x14ac:dyDescent="0.3">
      <c r="A1946">
        <v>6341</v>
      </c>
      <c r="B1946" t="s">
        <v>1439</v>
      </c>
      <c r="C1946" t="s">
        <v>92</v>
      </c>
      <c r="D1946" t="s">
        <v>64</v>
      </c>
      <c r="E1946" t="s">
        <v>1435</v>
      </c>
      <c r="F1946" s="13">
        <v>2</v>
      </c>
      <c r="G1946" s="14">
        <v>3897.09</v>
      </c>
      <c r="H1946" s="13">
        <v>177</v>
      </c>
      <c r="I1946" t="s">
        <v>76</v>
      </c>
    </row>
    <row r="1947" spans="1:9" x14ac:dyDescent="0.3">
      <c r="A1947">
        <v>7202</v>
      </c>
      <c r="B1947" t="s">
        <v>371</v>
      </c>
      <c r="C1947" t="s">
        <v>92</v>
      </c>
      <c r="D1947" t="s">
        <v>64</v>
      </c>
      <c r="E1947" t="s">
        <v>1435</v>
      </c>
      <c r="F1947" s="13">
        <v>1</v>
      </c>
      <c r="G1947" s="14">
        <v>285.56</v>
      </c>
      <c r="H1947" s="13">
        <v>177</v>
      </c>
      <c r="I1947" t="s">
        <v>76</v>
      </c>
    </row>
    <row r="1948" spans="1:9" x14ac:dyDescent="0.3">
      <c r="A1948">
        <v>8346</v>
      </c>
      <c r="B1948" t="s">
        <v>182</v>
      </c>
      <c r="C1948" t="s">
        <v>92</v>
      </c>
      <c r="D1948" t="s">
        <v>64</v>
      </c>
      <c r="E1948" t="s">
        <v>1435</v>
      </c>
      <c r="F1948" s="13">
        <v>2</v>
      </c>
      <c r="G1948" s="14">
        <v>5857.39</v>
      </c>
      <c r="H1948" s="13">
        <v>177</v>
      </c>
      <c r="I1948" t="s">
        <v>76</v>
      </c>
    </row>
    <row r="1949" spans="1:9" x14ac:dyDescent="0.3">
      <c r="A1949">
        <v>8820</v>
      </c>
      <c r="B1949" t="s">
        <v>532</v>
      </c>
      <c r="C1949" t="s">
        <v>123</v>
      </c>
      <c r="D1949" t="s">
        <v>65</v>
      </c>
      <c r="E1949" t="s">
        <v>1435</v>
      </c>
      <c r="F1949" s="13">
        <v>2</v>
      </c>
      <c r="G1949" s="14">
        <v>1397.82</v>
      </c>
      <c r="H1949" s="13">
        <v>177</v>
      </c>
      <c r="I1949" t="s">
        <v>76</v>
      </c>
    </row>
    <row r="1950" spans="1:9" x14ac:dyDescent="0.3">
      <c r="A1950">
        <v>211</v>
      </c>
      <c r="B1950" t="s">
        <v>342</v>
      </c>
      <c r="C1950" t="s">
        <v>87</v>
      </c>
      <c r="D1950" t="s">
        <v>64</v>
      </c>
      <c r="E1950" t="s">
        <v>1440</v>
      </c>
      <c r="F1950" s="13">
        <v>1</v>
      </c>
      <c r="G1950" s="14">
        <v>3666.79</v>
      </c>
      <c r="H1950" s="13">
        <v>176</v>
      </c>
      <c r="I1950" t="s">
        <v>76</v>
      </c>
    </row>
    <row r="1951" spans="1:9" x14ac:dyDescent="0.3">
      <c r="A1951">
        <v>327</v>
      </c>
      <c r="B1951" t="s">
        <v>86</v>
      </c>
      <c r="C1951" t="s">
        <v>95</v>
      </c>
      <c r="D1951" t="s">
        <v>65</v>
      </c>
      <c r="E1951" t="s">
        <v>1440</v>
      </c>
      <c r="F1951" s="13">
        <v>3</v>
      </c>
      <c r="G1951" s="14">
        <v>1258.73</v>
      </c>
      <c r="H1951" s="13">
        <v>176</v>
      </c>
      <c r="I1951" t="s">
        <v>76</v>
      </c>
    </row>
    <row r="1952" spans="1:9" x14ac:dyDescent="0.3">
      <c r="A1952">
        <v>717</v>
      </c>
      <c r="B1952" t="s">
        <v>142</v>
      </c>
      <c r="C1952" t="s">
        <v>137</v>
      </c>
      <c r="D1952" t="s">
        <v>64</v>
      </c>
      <c r="E1952" t="s">
        <v>1440</v>
      </c>
      <c r="F1952" s="13">
        <v>3</v>
      </c>
      <c r="G1952" s="14">
        <v>2177.9699999999998</v>
      </c>
      <c r="H1952" s="13">
        <v>176</v>
      </c>
      <c r="I1952" t="s">
        <v>76</v>
      </c>
    </row>
    <row r="1953" spans="1:9" x14ac:dyDescent="0.3">
      <c r="A1953">
        <v>895</v>
      </c>
      <c r="B1953" t="s">
        <v>500</v>
      </c>
      <c r="C1953" t="s">
        <v>121</v>
      </c>
      <c r="D1953" t="s">
        <v>67</v>
      </c>
      <c r="E1953" t="s">
        <v>1440</v>
      </c>
      <c r="F1953" s="13">
        <v>5</v>
      </c>
      <c r="G1953" s="14">
        <v>10327.040000000001</v>
      </c>
      <c r="H1953" s="13">
        <v>176</v>
      </c>
      <c r="I1953" t="s">
        <v>76</v>
      </c>
    </row>
    <row r="1954" spans="1:9" x14ac:dyDescent="0.3">
      <c r="A1954">
        <v>1493</v>
      </c>
      <c r="B1954" t="s">
        <v>1441</v>
      </c>
      <c r="C1954" t="s">
        <v>92</v>
      </c>
      <c r="D1954" t="s">
        <v>64</v>
      </c>
      <c r="E1954" t="s">
        <v>1440</v>
      </c>
      <c r="F1954" s="13">
        <v>5</v>
      </c>
      <c r="G1954" s="14">
        <v>14693.87</v>
      </c>
      <c r="H1954" s="13">
        <v>176</v>
      </c>
      <c r="I1954" t="s">
        <v>76</v>
      </c>
    </row>
    <row r="1955" spans="1:9" x14ac:dyDescent="0.3">
      <c r="A1955">
        <v>2808</v>
      </c>
      <c r="B1955" t="s">
        <v>366</v>
      </c>
      <c r="C1955" t="s">
        <v>123</v>
      </c>
      <c r="D1955" t="s">
        <v>65</v>
      </c>
      <c r="E1955" t="s">
        <v>1440</v>
      </c>
      <c r="F1955" s="13">
        <v>2</v>
      </c>
      <c r="G1955" s="14">
        <v>426.78</v>
      </c>
      <c r="H1955" s="13">
        <v>176</v>
      </c>
      <c r="I1955" t="s">
        <v>76</v>
      </c>
    </row>
    <row r="1956" spans="1:9" x14ac:dyDescent="0.3">
      <c r="A1956">
        <v>5444</v>
      </c>
      <c r="B1956" t="s">
        <v>1442</v>
      </c>
      <c r="C1956" t="s">
        <v>137</v>
      </c>
      <c r="D1956" t="s">
        <v>64</v>
      </c>
      <c r="E1956" t="s">
        <v>1440</v>
      </c>
      <c r="F1956" s="13">
        <v>2</v>
      </c>
      <c r="G1956" s="14">
        <v>3457.54</v>
      </c>
      <c r="H1956" s="13">
        <v>176</v>
      </c>
      <c r="I1956" t="s">
        <v>76</v>
      </c>
    </row>
    <row r="1957" spans="1:9" x14ac:dyDescent="0.3">
      <c r="A1957">
        <v>5712</v>
      </c>
      <c r="B1957" t="s">
        <v>1443</v>
      </c>
      <c r="C1957" t="s">
        <v>137</v>
      </c>
      <c r="D1957" t="s">
        <v>64</v>
      </c>
      <c r="E1957" t="s">
        <v>1440</v>
      </c>
      <c r="F1957" s="13">
        <v>2</v>
      </c>
      <c r="G1957" s="14">
        <v>3634.28</v>
      </c>
      <c r="H1957" s="13">
        <v>176</v>
      </c>
      <c r="I1957" t="s">
        <v>76</v>
      </c>
    </row>
    <row r="1958" spans="1:9" x14ac:dyDescent="0.3">
      <c r="A1958">
        <v>5954</v>
      </c>
      <c r="B1958" t="s">
        <v>1444</v>
      </c>
      <c r="C1958" t="s">
        <v>137</v>
      </c>
      <c r="D1958" t="s">
        <v>64</v>
      </c>
      <c r="E1958" t="s">
        <v>1440</v>
      </c>
      <c r="F1958" s="13">
        <v>1</v>
      </c>
      <c r="G1958" s="14">
        <v>890.44</v>
      </c>
      <c r="H1958" s="13">
        <v>176</v>
      </c>
      <c r="I1958" t="s">
        <v>76</v>
      </c>
    </row>
    <row r="1959" spans="1:9" x14ac:dyDescent="0.3">
      <c r="A1959">
        <v>6683</v>
      </c>
      <c r="B1959" t="s">
        <v>364</v>
      </c>
      <c r="C1959" t="s">
        <v>137</v>
      </c>
      <c r="D1959" t="s">
        <v>64</v>
      </c>
      <c r="E1959" t="s">
        <v>1440</v>
      </c>
      <c r="F1959" s="13">
        <v>1</v>
      </c>
      <c r="G1959" s="14">
        <v>3229.07</v>
      </c>
      <c r="H1959" s="13">
        <v>176</v>
      </c>
      <c r="I1959" t="s">
        <v>76</v>
      </c>
    </row>
    <row r="1960" spans="1:9" x14ac:dyDescent="0.3">
      <c r="A1960">
        <v>7905</v>
      </c>
      <c r="B1960" t="s">
        <v>1445</v>
      </c>
      <c r="C1960" t="s">
        <v>137</v>
      </c>
      <c r="D1960" t="s">
        <v>64</v>
      </c>
      <c r="E1960" t="s">
        <v>1440</v>
      </c>
      <c r="F1960" s="13">
        <v>3</v>
      </c>
      <c r="G1960" s="14">
        <v>6077.1</v>
      </c>
      <c r="H1960" s="13">
        <v>176</v>
      </c>
      <c r="I1960" t="s">
        <v>76</v>
      </c>
    </row>
    <row r="1961" spans="1:9" x14ac:dyDescent="0.3">
      <c r="A1961">
        <v>8279</v>
      </c>
      <c r="B1961" t="s">
        <v>1446</v>
      </c>
      <c r="C1961" t="s">
        <v>97</v>
      </c>
      <c r="D1961" t="s">
        <v>65</v>
      </c>
      <c r="E1961" t="s">
        <v>1440</v>
      </c>
      <c r="F1961" s="13">
        <v>4</v>
      </c>
      <c r="G1961" s="14">
        <v>8566.4500000000007</v>
      </c>
      <c r="H1961" s="13">
        <v>176</v>
      </c>
      <c r="I1961" t="s">
        <v>76</v>
      </c>
    </row>
    <row r="1962" spans="1:9" x14ac:dyDescent="0.3">
      <c r="A1962">
        <v>8419</v>
      </c>
      <c r="B1962" t="s">
        <v>559</v>
      </c>
      <c r="C1962" t="s">
        <v>137</v>
      </c>
      <c r="D1962" t="s">
        <v>64</v>
      </c>
      <c r="E1962" t="s">
        <v>1440</v>
      </c>
      <c r="F1962" s="13">
        <v>1</v>
      </c>
      <c r="G1962" s="14">
        <v>3488.97</v>
      </c>
      <c r="H1962" s="13">
        <v>176</v>
      </c>
      <c r="I1962" t="s">
        <v>76</v>
      </c>
    </row>
    <row r="1963" spans="1:9" x14ac:dyDescent="0.3">
      <c r="A1963">
        <v>8668</v>
      </c>
      <c r="B1963" t="s">
        <v>205</v>
      </c>
      <c r="C1963" t="s">
        <v>90</v>
      </c>
      <c r="D1963" t="s">
        <v>66</v>
      </c>
      <c r="E1963" t="s">
        <v>1440</v>
      </c>
      <c r="F1963" s="13">
        <v>6</v>
      </c>
      <c r="G1963" s="14">
        <v>11053.39</v>
      </c>
      <c r="H1963" s="13">
        <v>176</v>
      </c>
      <c r="I1963" t="s">
        <v>76</v>
      </c>
    </row>
    <row r="1964" spans="1:9" x14ac:dyDescent="0.3">
      <c r="A1964">
        <v>198</v>
      </c>
      <c r="B1964" t="s">
        <v>514</v>
      </c>
      <c r="C1964" t="s">
        <v>137</v>
      </c>
      <c r="D1964" t="s">
        <v>64</v>
      </c>
      <c r="E1964" t="s">
        <v>1447</v>
      </c>
      <c r="F1964" s="13">
        <v>1</v>
      </c>
      <c r="G1964" s="14">
        <v>272.54000000000002</v>
      </c>
      <c r="H1964" s="13">
        <v>175</v>
      </c>
      <c r="I1964" t="s">
        <v>76</v>
      </c>
    </row>
    <row r="1965" spans="1:9" x14ac:dyDescent="0.3">
      <c r="A1965">
        <v>576</v>
      </c>
      <c r="B1965" t="s">
        <v>346</v>
      </c>
      <c r="C1965" t="s">
        <v>92</v>
      </c>
      <c r="D1965" t="s">
        <v>64</v>
      </c>
      <c r="E1965" t="s">
        <v>1447</v>
      </c>
      <c r="F1965" s="13">
        <v>1</v>
      </c>
      <c r="G1965" s="14">
        <v>754.35</v>
      </c>
      <c r="H1965" s="13">
        <v>175</v>
      </c>
      <c r="I1965" t="s">
        <v>76</v>
      </c>
    </row>
    <row r="1966" spans="1:9" x14ac:dyDescent="0.3">
      <c r="A1966">
        <v>1040</v>
      </c>
      <c r="B1966" t="s">
        <v>1448</v>
      </c>
      <c r="C1966" t="s">
        <v>92</v>
      </c>
      <c r="D1966" t="s">
        <v>64</v>
      </c>
      <c r="E1966" t="s">
        <v>1447</v>
      </c>
      <c r="F1966" s="13">
        <v>1</v>
      </c>
      <c r="G1966" s="14">
        <v>4519.66</v>
      </c>
      <c r="H1966" s="13">
        <v>175</v>
      </c>
      <c r="I1966" t="s">
        <v>76</v>
      </c>
    </row>
    <row r="1967" spans="1:9" x14ac:dyDescent="0.3">
      <c r="A1967">
        <v>1654</v>
      </c>
      <c r="B1967" t="s">
        <v>1449</v>
      </c>
      <c r="C1967" t="s">
        <v>92</v>
      </c>
      <c r="D1967" t="s">
        <v>64</v>
      </c>
      <c r="E1967" t="s">
        <v>1447</v>
      </c>
      <c r="F1967" s="13">
        <v>2</v>
      </c>
      <c r="G1967" s="14">
        <v>4062.24</v>
      </c>
      <c r="H1967" s="13">
        <v>175</v>
      </c>
      <c r="I1967" t="s">
        <v>76</v>
      </c>
    </row>
    <row r="1968" spans="1:9" x14ac:dyDescent="0.3">
      <c r="A1968">
        <v>1875</v>
      </c>
      <c r="B1968" t="s">
        <v>1450</v>
      </c>
      <c r="C1968" t="s">
        <v>97</v>
      </c>
      <c r="D1968" t="s">
        <v>65</v>
      </c>
      <c r="E1968" t="s">
        <v>1447</v>
      </c>
      <c r="F1968" s="13">
        <v>4</v>
      </c>
      <c r="G1968" s="14">
        <v>7211.97</v>
      </c>
      <c r="H1968" s="13">
        <v>175</v>
      </c>
      <c r="I1968" t="s">
        <v>76</v>
      </c>
    </row>
    <row r="1969" spans="1:9" x14ac:dyDescent="0.3">
      <c r="A1969">
        <v>2018</v>
      </c>
      <c r="B1969" t="s">
        <v>662</v>
      </c>
      <c r="C1969" t="s">
        <v>114</v>
      </c>
      <c r="D1969" t="s">
        <v>66</v>
      </c>
      <c r="E1969" t="s">
        <v>1447</v>
      </c>
      <c r="F1969" s="13">
        <v>3</v>
      </c>
      <c r="G1969" s="14">
        <v>6684.42</v>
      </c>
      <c r="H1969" s="13">
        <v>175</v>
      </c>
      <c r="I1969" t="s">
        <v>76</v>
      </c>
    </row>
    <row r="1970" spans="1:9" x14ac:dyDescent="0.3">
      <c r="A1970">
        <v>2148</v>
      </c>
      <c r="B1970" t="s">
        <v>978</v>
      </c>
      <c r="C1970" t="s">
        <v>137</v>
      </c>
      <c r="D1970" t="s">
        <v>64</v>
      </c>
      <c r="E1970" t="s">
        <v>1447</v>
      </c>
      <c r="F1970" s="13">
        <v>1</v>
      </c>
      <c r="G1970" s="14">
        <v>529.67999999999995</v>
      </c>
      <c r="H1970" s="13">
        <v>175</v>
      </c>
      <c r="I1970" t="s">
        <v>76</v>
      </c>
    </row>
    <row r="1971" spans="1:9" x14ac:dyDescent="0.3">
      <c r="A1971">
        <v>4542</v>
      </c>
      <c r="B1971" t="s">
        <v>1451</v>
      </c>
      <c r="C1971" t="s">
        <v>90</v>
      </c>
      <c r="D1971" t="s">
        <v>66</v>
      </c>
      <c r="E1971" t="s">
        <v>1447</v>
      </c>
      <c r="F1971" s="13">
        <v>1</v>
      </c>
      <c r="G1971" s="14">
        <v>6132.24</v>
      </c>
      <c r="H1971" s="13">
        <v>175</v>
      </c>
      <c r="I1971" t="s">
        <v>76</v>
      </c>
    </row>
    <row r="1972" spans="1:9" x14ac:dyDescent="0.3">
      <c r="A1972">
        <v>4792</v>
      </c>
      <c r="B1972" t="s">
        <v>1452</v>
      </c>
      <c r="C1972" t="s">
        <v>90</v>
      </c>
      <c r="D1972" t="s">
        <v>66</v>
      </c>
      <c r="E1972" t="s">
        <v>1447</v>
      </c>
      <c r="F1972" s="13">
        <v>1</v>
      </c>
      <c r="G1972" s="14">
        <v>2906.61</v>
      </c>
      <c r="H1972" s="13">
        <v>175</v>
      </c>
      <c r="I1972" t="s">
        <v>76</v>
      </c>
    </row>
    <row r="1973" spans="1:9" x14ac:dyDescent="0.3">
      <c r="A1973">
        <v>5451</v>
      </c>
      <c r="B1973" t="s">
        <v>1453</v>
      </c>
      <c r="C1973" t="s">
        <v>92</v>
      </c>
      <c r="D1973" t="s">
        <v>64</v>
      </c>
      <c r="E1973" t="s">
        <v>1447</v>
      </c>
      <c r="F1973" s="13">
        <v>4</v>
      </c>
      <c r="G1973" s="14">
        <v>4421.22</v>
      </c>
      <c r="H1973" s="13">
        <v>175</v>
      </c>
      <c r="I1973" t="s">
        <v>76</v>
      </c>
    </row>
    <row r="1974" spans="1:9" x14ac:dyDescent="0.3">
      <c r="A1974">
        <v>6226</v>
      </c>
      <c r="B1974" t="s">
        <v>765</v>
      </c>
      <c r="C1974" t="s">
        <v>137</v>
      </c>
      <c r="D1974" t="s">
        <v>64</v>
      </c>
      <c r="E1974" t="s">
        <v>1447</v>
      </c>
      <c r="F1974" s="13">
        <v>2</v>
      </c>
      <c r="G1974" s="14">
        <v>3440.99</v>
      </c>
      <c r="H1974" s="13">
        <v>175</v>
      </c>
      <c r="I1974" t="s">
        <v>76</v>
      </c>
    </row>
    <row r="1975" spans="1:9" x14ac:dyDescent="0.3">
      <c r="A1975">
        <v>7129</v>
      </c>
      <c r="B1975" t="s">
        <v>801</v>
      </c>
      <c r="C1975" t="s">
        <v>92</v>
      </c>
      <c r="D1975" t="s">
        <v>64</v>
      </c>
      <c r="E1975" t="s">
        <v>1447</v>
      </c>
      <c r="F1975" s="13">
        <v>1</v>
      </c>
      <c r="G1975" s="14">
        <v>484.8</v>
      </c>
      <c r="H1975" s="13">
        <v>175</v>
      </c>
      <c r="I1975" t="s">
        <v>76</v>
      </c>
    </row>
    <row r="1976" spans="1:9" x14ac:dyDescent="0.3">
      <c r="A1976">
        <v>7158</v>
      </c>
      <c r="B1976" t="s">
        <v>582</v>
      </c>
      <c r="C1976" t="s">
        <v>92</v>
      </c>
      <c r="D1976" t="s">
        <v>64</v>
      </c>
      <c r="E1976" t="s">
        <v>1447</v>
      </c>
      <c r="F1976" s="13">
        <v>2</v>
      </c>
      <c r="G1976" s="14">
        <v>4168.08</v>
      </c>
      <c r="H1976" s="13">
        <v>175</v>
      </c>
      <c r="I1976" t="s">
        <v>76</v>
      </c>
    </row>
    <row r="1977" spans="1:9" x14ac:dyDescent="0.3">
      <c r="A1977">
        <v>7286</v>
      </c>
      <c r="B1977" t="s">
        <v>466</v>
      </c>
      <c r="C1977" t="s">
        <v>123</v>
      </c>
      <c r="D1977" t="s">
        <v>65</v>
      </c>
      <c r="E1977" t="s">
        <v>1447</v>
      </c>
      <c r="F1977" s="13">
        <v>1</v>
      </c>
      <c r="G1977" s="14">
        <v>542.91999999999996</v>
      </c>
      <c r="H1977" s="13">
        <v>175</v>
      </c>
      <c r="I1977" t="s">
        <v>76</v>
      </c>
    </row>
    <row r="1978" spans="1:9" x14ac:dyDescent="0.3">
      <c r="A1978">
        <v>369</v>
      </c>
      <c r="B1978" t="s">
        <v>557</v>
      </c>
      <c r="C1978" t="s">
        <v>92</v>
      </c>
      <c r="D1978" t="s">
        <v>64</v>
      </c>
      <c r="E1978" t="s">
        <v>1454</v>
      </c>
      <c r="F1978" s="13">
        <v>1</v>
      </c>
      <c r="G1978" s="14">
        <v>1215.8599999999999</v>
      </c>
      <c r="H1978" s="13">
        <v>174</v>
      </c>
      <c r="I1978" t="s">
        <v>76</v>
      </c>
    </row>
    <row r="1979" spans="1:9" x14ac:dyDescent="0.3">
      <c r="A1979">
        <v>374</v>
      </c>
      <c r="B1979" t="s">
        <v>204</v>
      </c>
      <c r="C1979" t="s">
        <v>92</v>
      </c>
      <c r="D1979" t="s">
        <v>64</v>
      </c>
      <c r="E1979" t="s">
        <v>1454</v>
      </c>
      <c r="F1979" s="13">
        <v>4</v>
      </c>
      <c r="G1979" s="14">
        <v>1201.33</v>
      </c>
      <c r="H1979" s="13">
        <v>174</v>
      </c>
      <c r="I1979" t="s">
        <v>76</v>
      </c>
    </row>
    <row r="1980" spans="1:9" x14ac:dyDescent="0.3">
      <c r="A1980">
        <v>788</v>
      </c>
      <c r="B1980" t="s">
        <v>302</v>
      </c>
      <c r="C1980" t="s">
        <v>123</v>
      </c>
      <c r="D1980" t="s">
        <v>65</v>
      </c>
      <c r="E1980" t="s">
        <v>1454</v>
      </c>
      <c r="F1980" s="13">
        <v>4</v>
      </c>
      <c r="G1980" s="14">
        <v>3078.19</v>
      </c>
      <c r="H1980" s="13">
        <v>174</v>
      </c>
      <c r="I1980" t="s">
        <v>76</v>
      </c>
    </row>
    <row r="1981" spans="1:9" x14ac:dyDescent="0.3">
      <c r="A1981">
        <v>1101</v>
      </c>
      <c r="B1981" t="s">
        <v>641</v>
      </c>
      <c r="C1981" t="s">
        <v>103</v>
      </c>
      <c r="D1981" t="s">
        <v>67</v>
      </c>
      <c r="E1981" t="s">
        <v>1454</v>
      </c>
      <c r="F1981" s="13">
        <v>1</v>
      </c>
      <c r="G1981" s="14">
        <v>1516.4</v>
      </c>
      <c r="H1981" s="13">
        <v>174</v>
      </c>
      <c r="I1981" t="s">
        <v>76</v>
      </c>
    </row>
    <row r="1982" spans="1:9" x14ac:dyDescent="0.3">
      <c r="A1982">
        <v>1556</v>
      </c>
      <c r="B1982" t="s">
        <v>1455</v>
      </c>
      <c r="C1982" t="s">
        <v>90</v>
      </c>
      <c r="D1982" t="s">
        <v>66</v>
      </c>
      <c r="E1982" t="s">
        <v>1454</v>
      </c>
      <c r="F1982" s="13">
        <v>1</v>
      </c>
      <c r="G1982" s="14">
        <v>3266.62</v>
      </c>
      <c r="H1982" s="13">
        <v>174</v>
      </c>
      <c r="I1982" t="s">
        <v>76</v>
      </c>
    </row>
    <row r="1983" spans="1:9" x14ac:dyDescent="0.3">
      <c r="A1983">
        <v>2220</v>
      </c>
      <c r="B1983" t="s">
        <v>149</v>
      </c>
      <c r="C1983" t="s">
        <v>92</v>
      </c>
      <c r="D1983" t="s">
        <v>64</v>
      </c>
      <c r="E1983" t="s">
        <v>1454</v>
      </c>
      <c r="F1983" s="13">
        <v>2</v>
      </c>
      <c r="G1983" s="14">
        <v>15346.77</v>
      </c>
      <c r="H1983" s="13">
        <v>174</v>
      </c>
      <c r="I1983" t="s">
        <v>76</v>
      </c>
    </row>
    <row r="1984" spans="1:9" x14ac:dyDescent="0.3">
      <c r="A1984">
        <v>2865</v>
      </c>
      <c r="B1984" t="s">
        <v>277</v>
      </c>
      <c r="C1984" t="s">
        <v>92</v>
      </c>
      <c r="D1984" t="s">
        <v>64</v>
      </c>
      <c r="E1984" t="s">
        <v>1454</v>
      </c>
      <c r="F1984" s="13">
        <v>5</v>
      </c>
      <c r="G1984" s="14">
        <v>17741.759999999998</v>
      </c>
      <c r="H1984" s="13">
        <v>174</v>
      </c>
      <c r="I1984" t="s">
        <v>76</v>
      </c>
    </row>
    <row r="1985" spans="1:9" x14ac:dyDescent="0.3">
      <c r="A1985">
        <v>3010</v>
      </c>
      <c r="B1985" t="s">
        <v>1456</v>
      </c>
      <c r="C1985" t="s">
        <v>133</v>
      </c>
      <c r="D1985" t="s">
        <v>64</v>
      </c>
      <c r="E1985" t="s">
        <v>1454</v>
      </c>
      <c r="F1985" s="13">
        <v>1</v>
      </c>
      <c r="G1985" s="14">
        <v>719</v>
      </c>
      <c r="H1985" s="13">
        <v>174</v>
      </c>
      <c r="I1985" t="s">
        <v>76</v>
      </c>
    </row>
    <row r="1986" spans="1:9" x14ac:dyDescent="0.3">
      <c r="A1986">
        <v>3082</v>
      </c>
      <c r="B1986" t="s">
        <v>237</v>
      </c>
      <c r="C1986" t="s">
        <v>97</v>
      </c>
      <c r="D1986" t="s">
        <v>65</v>
      </c>
      <c r="E1986" t="s">
        <v>1454</v>
      </c>
      <c r="F1986" s="13">
        <v>1</v>
      </c>
      <c r="G1986" s="14">
        <v>366.59</v>
      </c>
      <c r="H1986" s="13">
        <v>174</v>
      </c>
      <c r="I1986" t="s">
        <v>76</v>
      </c>
    </row>
    <row r="1987" spans="1:9" x14ac:dyDescent="0.3">
      <c r="A1987">
        <v>3193</v>
      </c>
      <c r="B1987" t="s">
        <v>1457</v>
      </c>
      <c r="C1987" t="s">
        <v>92</v>
      </c>
      <c r="D1987" t="s">
        <v>64</v>
      </c>
      <c r="E1987" t="s">
        <v>1454</v>
      </c>
      <c r="F1987" s="13">
        <v>1</v>
      </c>
      <c r="G1987" s="14">
        <v>5867.45</v>
      </c>
      <c r="H1987" s="13">
        <v>174</v>
      </c>
      <c r="I1987" t="s">
        <v>76</v>
      </c>
    </row>
    <row r="1988" spans="1:9" x14ac:dyDescent="0.3">
      <c r="A1988">
        <v>3607</v>
      </c>
      <c r="B1988" t="s">
        <v>1458</v>
      </c>
      <c r="C1988" t="s">
        <v>95</v>
      </c>
      <c r="D1988" t="s">
        <v>65</v>
      </c>
      <c r="E1988" t="s">
        <v>1454</v>
      </c>
      <c r="F1988" s="13">
        <v>1</v>
      </c>
      <c r="G1988" s="14">
        <v>1240.1099999999999</v>
      </c>
      <c r="H1988" s="13">
        <v>174</v>
      </c>
      <c r="I1988" t="s">
        <v>76</v>
      </c>
    </row>
    <row r="1989" spans="1:9" x14ac:dyDescent="0.3">
      <c r="A1989">
        <v>3920</v>
      </c>
      <c r="B1989" t="s">
        <v>169</v>
      </c>
      <c r="C1989" t="s">
        <v>95</v>
      </c>
      <c r="D1989" t="s">
        <v>65</v>
      </c>
      <c r="E1989" t="s">
        <v>1454</v>
      </c>
      <c r="F1989" s="13">
        <v>1</v>
      </c>
      <c r="G1989" s="14">
        <v>310.11</v>
      </c>
      <c r="H1989" s="13">
        <v>174</v>
      </c>
      <c r="I1989" t="s">
        <v>76</v>
      </c>
    </row>
    <row r="1990" spans="1:9" x14ac:dyDescent="0.3">
      <c r="A1990">
        <v>4186</v>
      </c>
      <c r="B1990" t="s">
        <v>295</v>
      </c>
      <c r="C1990" t="s">
        <v>90</v>
      </c>
      <c r="D1990" t="s">
        <v>66</v>
      </c>
      <c r="E1990" t="s">
        <v>1454</v>
      </c>
      <c r="F1990" s="13">
        <v>2</v>
      </c>
      <c r="G1990" s="14">
        <v>8813.24</v>
      </c>
      <c r="H1990" s="13">
        <v>174</v>
      </c>
      <c r="I1990" t="s">
        <v>76</v>
      </c>
    </row>
    <row r="1991" spans="1:9" x14ac:dyDescent="0.3">
      <c r="A1991">
        <v>7467</v>
      </c>
      <c r="B1991" t="s">
        <v>494</v>
      </c>
      <c r="C1991" t="s">
        <v>97</v>
      </c>
      <c r="D1991" t="s">
        <v>65</v>
      </c>
      <c r="E1991" t="s">
        <v>1454</v>
      </c>
      <c r="F1991" s="13">
        <v>2</v>
      </c>
      <c r="G1991" s="14">
        <v>5407.67</v>
      </c>
      <c r="H1991" s="13">
        <v>174</v>
      </c>
      <c r="I1991" t="s">
        <v>76</v>
      </c>
    </row>
    <row r="1992" spans="1:9" x14ac:dyDescent="0.3">
      <c r="A1992">
        <v>87</v>
      </c>
      <c r="B1992" t="s">
        <v>1459</v>
      </c>
      <c r="C1992" t="s">
        <v>121</v>
      </c>
      <c r="D1992" t="s">
        <v>67</v>
      </c>
      <c r="E1992" t="s">
        <v>1460</v>
      </c>
      <c r="F1992" s="13">
        <v>2</v>
      </c>
      <c r="G1992" s="14">
        <v>2108.3000000000002</v>
      </c>
      <c r="H1992" s="13">
        <v>173</v>
      </c>
      <c r="I1992" t="s">
        <v>76</v>
      </c>
    </row>
    <row r="1993" spans="1:9" x14ac:dyDescent="0.3">
      <c r="A1993">
        <v>1445</v>
      </c>
      <c r="B1993" t="s">
        <v>534</v>
      </c>
      <c r="C1993" t="s">
        <v>114</v>
      </c>
      <c r="D1993" t="s">
        <v>66</v>
      </c>
      <c r="E1993" t="s">
        <v>1460</v>
      </c>
      <c r="F1993" s="13">
        <v>2</v>
      </c>
      <c r="G1993" s="14">
        <v>3410.21</v>
      </c>
      <c r="H1993" s="13">
        <v>173</v>
      </c>
      <c r="I1993" t="s">
        <v>76</v>
      </c>
    </row>
    <row r="1994" spans="1:9" x14ac:dyDescent="0.3">
      <c r="A1994">
        <v>1472</v>
      </c>
      <c r="B1994" t="s">
        <v>284</v>
      </c>
      <c r="C1994" t="s">
        <v>92</v>
      </c>
      <c r="D1994" t="s">
        <v>64</v>
      </c>
      <c r="E1994" t="s">
        <v>1460</v>
      </c>
      <c r="F1994" s="13">
        <v>1</v>
      </c>
      <c r="G1994" s="14">
        <v>598.01</v>
      </c>
      <c r="H1994" s="13">
        <v>173</v>
      </c>
      <c r="I1994" t="s">
        <v>76</v>
      </c>
    </row>
    <row r="1995" spans="1:9" x14ac:dyDescent="0.3">
      <c r="A1995">
        <v>2602</v>
      </c>
      <c r="B1995" t="s">
        <v>346</v>
      </c>
      <c r="C1995" t="s">
        <v>95</v>
      </c>
      <c r="D1995" t="s">
        <v>65</v>
      </c>
      <c r="E1995" t="s">
        <v>1460</v>
      </c>
      <c r="F1995" s="13">
        <v>1</v>
      </c>
      <c r="G1995" s="14">
        <v>943.6</v>
      </c>
      <c r="H1995" s="13">
        <v>173</v>
      </c>
      <c r="I1995" t="s">
        <v>76</v>
      </c>
    </row>
    <row r="1996" spans="1:9" x14ac:dyDescent="0.3">
      <c r="A1996">
        <v>3791</v>
      </c>
      <c r="B1996" t="s">
        <v>149</v>
      </c>
      <c r="C1996" t="s">
        <v>137</v>
      </c>
      <c r="D1996" t="s">
        <v>64</v>
      </c>
      <c r="E1996" t="s">
        <v>1460</v>
      </c>
      <c r="F1996" s="13">
        <v>2</v>
      </c>
      <c r="G1996" s="14">
        <v>8440.52</v>
      </c>
      <c r="H1996" s="13">
        <v>173</v>
      </c>
      <c r="I1996" t="s">
        <v>76</v>
      </c>
    </row>
    <row r="1997" spans="1:9" x14ac:dyDescent="0.3">
      <c r="A1997">
        <v>4794</v>
      </c>
      <c r="B1997" t="s">
        <v>1461</v>
      </c>
      <c r="C1997" t="s">
        <v>114</v>
      </c>
      <c r="D1997" t="s">
        <v>66</v>
      </c>
      <c r="E1997" t="s">
        <v>1460</v>
      </c>
      <c r="F1997" s="13">
        <v>1</v>
      </c>
      <c r="G1997" s="14">
        <v>191.89</v>
      </c>
      <c r="H1997" s="13">
        <v>173</v>
      </c>
      <c r="I1997" t="s">
        <v>76</v>
      </c>
    </row>
    <row r="1998" spans="1:9" x14ac:dyDescent="0.3">
      <c r="A1998">
        <v>5033</v>
      </c>
      <c r="B1998" t="s">
        <v>1462</v>
      </c>
      <c r="C1998" t="s">
        <v>95</v>
      </c>
      <c r="D1998" t="s">
        <v>65</v>
      </c>
      <c r="E1998" t="s">
        <v>1460</v>
      </c>
      <c r="F1998" s="13">
        <v>2</v>
      </c>
      <c r="G1998" s="14">
        <v>1623.43</v>
      </c>
      <c r="H1998" s="13">
        <v>173</v>
      </c>
      <c r="I1998" t="s">
        <v>76</v>
      </c>
    </row>
    <row r="1999" spans="1:9" x14ac:dyDescent="0.3">
      <c r="A1999">
        <v>5971</v>
      </c>
      <c r="B1999" t="s">
        <v>636</v>
      </c>
      <c r="C1999" t="s">
        <v>137</v>
      </c>
      <c r="D1999" t="s">
        <v>64</v>
      </c>
      <c r="E1999" t="s">
        <v>1460</v>
      </c>
      <c r="F1999" s="13">
        <v>3</v>
      </c>
      <c r="G1999" s="14">
        <v>4835.7700000000004</v>
      </c>
      <c r="H1999" s="13">
        <v>173</v>
      </c>
      <c r="I1999" t="s">
        <v>76</v>
      </c>
    </row>
    <row r="2000" spans="1:9" x14ac:dyDescent="0.3">
      <c r="A2000">
        <v>6674</v>
      </c>
      <c r="B2000" t="s">
        <v>1463</v>
      </c>
      <c r="C2000" t="s">
        <v>92</v>
      </c>
      <c r="D2000" t="s">
        <v>64</v>
      </c>
      <c r="E2000" t="s">
        <v>1460</v>
      </c>
      <c r="F2000" s="13">
        <v>2</v>
      </c>
      <c r="G2000" s="14">
        <v>2070.0700000000002</v>
      </c>
      <c r="H2000" s="13">
        <v>173</v>
      </c>
      <c r="I2000" t="s">
        <v>76</v>
      </c>
    </row>
    <row r="2001" spans="1:9" x14ac:dyDescent="0.3">
      <c r="A2001">
        <v>765</v>
      </c>
      <c r="B2001" t="s">
        <v>559</v>
      </c>
      <c r="C2001" t="s">
        <v>87</v>
      </c>
      <c r="D2001" t="s">
        <v>64</v>
      </c>
      <c r="E2001" t="s">
        <v>1464</v>
      </c>
      <c r="F2001" s="13">
        <v>4</v>
      </c>
      <c r="G2001" s="14">
        <v>5396</v>
      </c>
      <c r="H2001" s="13">
        <v>172</v>
      </c>
      <c r="I2001" t="s">
        <v>76</v>
      </c>
    </row>
    <row r="2002" spans="1:9" x14ac:dyDescent="0.3">
      <c r="A2002">
        <v>1135</v>
      </c>
      <c r="B2002" t="s">
        <v>1465</v>
      </c>
      <c r="C2002" t="s">
        <v>121</v>
      </c>
      <c r="D2002" t="s">
        <v>67</v>
      </c>
      <c r="E2002" t="s">
        <v>1464</v>
      </c>
      <c r="F2002" s="13">
        <v>3</v>
      </c>
      <c r="G2002" s="14">
        <v>3720.02</v>
      </c>
      <c r="H2002" s="13">
        <v>172</v>
      </c>
      <c r="I2002" t="s">
        <v>76</v>
      </c>
    </row>
    <row r="2003" spans="1:9" x14ac:dyDescent="0.3">
      <c r="A2003">
        <v>1219</v>
      </c>
      <c r="B2003" t="s">
        <v>1466</v>
      </c>
      <c r="C2003" t="s">
        <v>133</v>
      </c>
      <c r="D2003" t="s">
        <v>64</v>
      </c>
      <c r="E2003" t="s">
        <v>1464</v>
      </c>
      <c r="F2003" s="13">
        <v>1</v>
      </c>
      <c r="G2003" s="14">
        <v>4922.28</v>
      </c>
      <c r="H2003" s="13">
        <v>172</v>
      </c>
      <c r="I2003" t="s">
        <v>76</v>
      </c>
    </row>
    <row r="2004" spans="1:9" x14ac:dyDescent="0.3">
      <c r="A2004">
        <v>1663</v>
      </c>
      <c r="B2004" t="s">
        <v>762</v>
      </c>
      <c r="C2004" t="s">
        <v>92</v>
      </c>
      <c r="D2004" t="s">
        <v>64</v>
      </c>
      <c r="E2004" t="s">
        <v>1464</v>
      </c>
      <c r="F2004" s="13">
        <v>2</v>
      </c>
      <c r="G2004" s="14">
        <v>2494.23</v>
      </c>
      <c r="H2004" s="13">
        <v>172</v>
      </c>
      <c r="I2004" t="s">
        <v>76</v>
      </c>
    </row>
    <row r="2005" spans="1:9" x14ac:dyDescent="0.3">
      <c r="A2005">
        <v>2101</v>
      </c>
      <c r="B2005" t="s">
        <v>286</v>
      </c>
      <c r="C2005" t="s">
        <v>90</v>
      </c>
      <c r="D2005" t="s">
        <v>66</v>
      </c>
      <c r="E2005" t="s">
        <v>1464</v>
      </c>
      <c r="F2005" s="13">
        <v>1</v>
      </c>
      <c r="G2005" s="14">
        <v>286.18</v>
      </c>
      <c r="H2005" s="13">
        <v>172</v>
      </c>
      <c r="I2005" t="s">
        <v>76</v>
      </c>
    </row>
    <row r="2006" spans="1:9" x14ac:dyDescent="0.3">
      <c r="A2006">
        <v>2422</v>
      </c>
      <c r="B2006" t="s">
        <v>151</v>
      </c>
      <c r="C2006" t="s">
        <v>133</v>
      </c>
      <c r="D2006" t="s">
        <v>64</v>
      </c>
      <c r="E2006" t="s">
        <v>1464</v>
      </c>
      <c r="F2006" s="13">
        <v>1</v>
      </c>
      <c r="G2006" s="14">
        <v>347.57</v>
      </c>
      <c r="H2006" s="13">
        <v>172</v>
      </c>
      <c r="I2006" t="s">
        <v>76</v>
      </c>
    </row>
    <row r="2007" spans="1:9" x14ac:dyDescent="0.3">
      <c r="A2007">
        <v>2501</v>
      </c>
      <c r="B2007" t="s">
        <v>274</v>
      </c>
      <c r="C2007" t="s">
        <v>133</v>
      </c>
      <c r="D2007" t="s">
        <v>64</v>
      </c>
      <c r="E2007" t="s">
        <v>1464</v>
      </c>
      <c r="F2007" s="13">
        <v>2</v>
      </c>
      <c r="G2007" s="14">
        <v>1941.88</v>
      </c>
      <c r="H2007" s="13">
        <v>172</v>
      </c>
      <c r="I2007" t="s">
        <v>76</v>
      </c>
    </row>
    <row r="2008" spans="1:9" x14ac:dyDescent="0.3">
      <c r="A2008">
        <v>2996</v>
      </c>
      <c r="B2008" t="s">
        <v>466</v>
      </c>
      <c r="C2008" t="s">
        <v>92</v>
      </c>
      <c r="D2008" t="s">
        <v>64</v>
      </c>
      <c r="E2008" t="s">
        <v>1464</v>
      </c>
      <c r="F2008" s="13">
        <v>2</v>
      </c>
      <c r="G2008" s="14">
        <v>4036.74</v>
      </c>
      <c r="H2008" s="13">
        <v>172</v>
      </c>
      <c r="I2008" t="s">
        <v>76</v>
      </c>
    </row>
    <row r="2009" spans="1:9" x14ac:dyDescent="0.3">
      <c r="A2009">
        <v>3066</v>
      </c>
      <c r="B2009" t="s">
        <v>644</v>
      </c>
      <c r="C2009" t="s">
        <v>92</v>
      </c>
      <c r="D2009" t="s">
        <v>64</v>
      </c>
      <c r="E2009" t="s">
        <v>1464</v>
      </c>
      <c r="F2009" s="13">
        <v>2</v>
      </c>
      <c r="G2009" s="14">
        <v>2269.63</v>
      </c>
      <c r="H2009" s="13">
        <v>172</v>
      </c>
      <c r="I2009" t="s">
        <v>76</v>
      </c>
    </row>
    <row r="2010" spans="1:9" x14ac:dyDescent="0.3">
      <c r="A2010">
        <v>3207</v>
      </c>
      <c r="B2010" t="s">
        <v>86</v>
      </c>
      <c r="C2010" t="s">
        <v>92</v>
      </c>
      <c r="D2010" t="s">
        <v>64</v>
      </c>
      <c r="E2010" t="s">
        <v>1464</v>
      </c>
      <c r="F2010" s="13">
        <v>1</v>
      </c>
      <c r="G2010" s="14">
        <v>1107.25</v>
      </c>
      <c r="H2010" s="13">
        <v>172</v>
      </c>
      <c r="I2010" t="s">
        <v>76</v>
      </c>
    </row>
    <row r="2011" spans="1:9" x14ac:dyDescent="0.3">
      <c r="A2011">
        <v>3809</v>
      </c>
      <c r="B2011" t="s">
        <v>472</v>
      </c>
      <c r="C2011" t="s">
        <v>90</v>
      </c>
      <c r="D2011" t="s">
        <v>66</v>
      </c>
      <c r="E2011" t="s">
        <v>1464</v>
      </c>
      <c r="F2011" s="13">
        <v>2</v>
      </c>
      <c r="G2011" s="14">
        <v>4349.24</v>
      </c>
      <c r="H2011" s="13">
        <v>172</v>
      </c>
      <c r="I2011" t="s">
        <v>76</v>
      </c>
    </row>
    <row r="2012" spans="1:9" x14ac:dyDescent="0.3">
      <c r="A2012">
        <v>3856</v>
      </c>
      <c r="B2012" t="s">
        <v>588</v>
      </c>
      <c r="C2012" t="s">
        <v>92</v>
      </c>
      <c r="D2012" t="s">
        <v>64</v>
      </c>
      <c r="E2012" t="s">
        <v>1464</v>
      </c>
      <c r="F2012" s="13">
        <v>2</v>
      </c>
      <c r="G2012" s="14">
        <v>4034.46</v>
      </c>
      <c r="H2012" s="13">
        <v>172</v>
      </c>
      <c r="I2012" t="s">
        <v>76</v>
      </c>
    </row>
    <row r="2013" spans="1:9" x14ac:dyDescent="0.3">
      <c r="A2013">
        <v>4115</v>
      </c>
      <c r="B2013" t="s">
        <v>323</v>
      </c>
      <c r="C2013" t="s">
        <v>92</v>
      </c>
      <c r="D2013" t="s">
        <v>64</v>
      </c>
      <c r="E2013" t="s">
        <v>1464</v>
      </c>
      <c r="F2013" s="13">
        <v>2</v>
      </c>
      <c r="G2013" s="14">
        <v>7262.81</v>
      </c>
      <c r="H2013" s="13">
        <v>172</v>
      </c>
      <c r="I2013" t="s">
        <v>76</v>
      </c>
    </row>
    <row r="2014" spans="1:9" x14ac:dyDescent="0.3">
      <c r="A2014">
        <v>4572</v>
      </c>
      <c r="B2014" t="s">
        <v>509</v>
      </c>
      <c r="C2014" t="s">
        <v>87</v>
      </c>
      <c r="D2014" t="s">
        <v>64</v>
      </c>
      <c r="E2014" t="s">
        <v>1464</v>
      </c>
      <c r="F2014" s="13">
        <v>2</v>
      </c>
      <c r="G2014" s="14">
        <v>3061.08</v>
      </c>
      <c r="H2014" s="13">
        <v>172</v>
      </c>
      <c r="I2014" t="s">
        <v>76</v>
      </c>
    </row>
    <row r="2015" spans="1:9" x14ac:dyDescent="0.3">
      <c r="A2015">
        <v>6434</v>
      </c>
      <c r="B2015" t="s">
        <v>494</v>
      </c>
      <c r="C2015" t="s">
        <v>95</v>
      </c>
      <c r="D2015" t="s">
        <v>65</v>
      </c>
      <c r="E2015" t="s">
        <v>1464</v>
      </c>
      <c r="F2015" s="13">
        <v>1</v>
      </c>
      <c r="G2015" s="14">
        <v>10229.98</v>
      </c>
      <c r="H2015" s="13">
        <v>172</v>
      </c>
      <c r="I2015" t="s">
        <v>76</v>
      </c>
    </row>
    <row r="2016" spans="1:9" x14ac:dyDescent="0.3">
      <c r="A2016">
        <v>7220</v>
      </c>
      <c r="B2016" t="s">
        <v>540</v>
      </c>
      <c r="C2016" t="s">
        <v>133</v>
      </c>
      <c r="D2016" t="s">
        <v>64</v>
      </c>
      <c r="E2016" t="s">
        <v>1464</v>
      </c>
      <c r="F2016" s="13">
        <v>2</v>
      </c>
      <c r="G2016" s="14">
        <v>6733.4</v>
      </c>
      <c r="H2016" s="13">
        <v>172</v>
      </c>
      <c r="I2016" t="s">
        <v>76</v>
      </c>
    </row>
    <row r="2017" spans="1:9" x14ac:dyDescent="0.3">
      <c r="A2017">
        <v>8416</v>
      </c>
      <c r="B2017" t="s">
        <v>1467</v>
      </c>
      <c r="C2017" t="s">
        <v>100</v>
      </c>
      <c r="D2017" t="s">
        <v>66</v>
      </c>
      <c r="E2017" t="s">
        <v>1464</v>
      </c>
      <c r="F2017" s="13">
        <v>2</v>
      </c>
      <c r="G2017" s="14">
        <v>11570.64</v>
      </c>
      <c r="H2017" s="13">
        <v>172</v>
      </c>
      <c r="I2017" t="s">
        <v>76</v>
      </c>
    </row>
    <row r="2018" spans="1:9" x14ac:dyDescent="0.3">
      <c r="A2018">
        <v>155</v>
      </c>
      <c r="B2018" t="s">
        <v>255</v>
      </c>
      <c r="C2018" t="s">
        <v>114</v>
      </c>
      <c r="D2018" t="s">
        <v>66</v>
      </c>
      <c r="E2018" t="s">
        <v>1468</v>
      </c>
      <c r="F2018" s="13">
        <v>1</v>
      </c>
      <c r="G2018" s="14">
        <v>664</v>
      </c>
      <c r="H2018" s="13">
        <v>171</v>
      </c>
      <c r="I2018" t="s">
        <v>76</v>
      </c>
    </row>
    <row r="2019" spans="1:9" x14ac:dyDescent="0.3">
      <c r="A2019">
        <v>467</v>
      </c>
      <c r="B2019" t="s">
        <v>259</v>
      </c>
      <c r="C2019" t="s">
        <v>137</v>
      </c>
      <c r="D2019" t="s">
        <v>64</v>
      </c>
      <c r="E2019" t="s">
        <v>1468</v>
      </c>
      <c r="F2019" s="13">
        <v>3</v>
      </c>
      <c r="G2019" s="14">
        <v>3973.53</v>
      </c>
      <c r="H2019" s="13">
        <v>171</v>
      </c>
      <c r="I2019" t="s">
        <v>76</v>
      </c>
    </row>
    <row r="2020" spans="1:9" x14ac:dyDescent="0.3">
      <c r="A2020">
        <v>595</v>
      </c>
      <c r="B2020" t="s">
        <v>109</v>
      </c>
      <c r="C2020" t="s">
        <v>156</v>
      </c>
      <c r="D2020" t="s">
        <v>68</v>
      </c>
      <c r="E2020" t="s">
        <v>1468</v>
      </c>
      <c r="F2020" s="13">
        <v>3</v>
      </c>
      <c r="G2020" s="14">
        <v>7534.8</v>
      </c>
      <c r="H2020" s="13">
        <v>171</v>
      </c>
      <c r="I2020" t="s">
        <v>76</v>
      </c>
    </row>
    <row r="2021" spans="1:9" x14ac:dyDescent="0.3">
      <c r="A2021">
        <v>1862</v>
      </c>
      <c r="B2021" t="s">
        <v>382</v>
      </c>
      <c r="C2021" t="s">
        <v>123</v>
      </c>
      <c r="D2021" t="s">
        <v>65</v>
      </c>
      <c r="E2021" t="s">
        <v>1468</v>
      </c>
      <c r="F2021" s="13">
        <v>6</v>
      </c>
      <c r="G2021" s="14">
        <v>7798.29</v>
      </c>
      <c r="H2021" s="13">
        <v>171</v>
      </c>
      <c r="I2021" t="s">
        <v>76</v>
      </c>
    </row>
    <row r="2022" spans="1:9" x14ac:dyDescent="0.3">
      <c r="A2022">
        <v>2322</v>
      </c>
      <c r="B2022" t="s">
        <v>1469</v>
      </c>
      <c r="C2022" t="s">
        <v>137</v>
      </c>
      <c r="D2022" t="s">
        <v>64</v>
      </c>
      <c r="E2022" t="s">
        <v>1468</v>
      </c>
      <c r="F2022" s="13">
        <v>1</v>
      </c>
      <c r="G2022" s="14">
        <v>984.57</v>
      </c>
      <c r="H2022" s="13">
        <v>171</v>
      </c>
      <c r="I2022" t="s">
        <v>76</v>
      </c>
    </row>
    <row r="2023" spans="1:9" x14ac:dyDescent="0.3">
      <c r="A2023">
        <v>3374</v>
      </c>
      <c r="B2023" t="s">
        <v>1470</v>
      </c>
      <c r="C2023" t="s">
        <v>121</v>
      </c>
      <c r="D2023" t="s">
        <v>67</v>
      </c>
      <c r="E2023" t="s">
        <v>1468</v>
      </c>
      <c r="F2023" s="13">
        <v>1</v>
      </c>
      <c r="G2023" s="14">
        <v>3003.97</v>
      </c>
      <c r="H2023" s="13">
        <v>171</v>
      </c>
      <c r="I2023" t="s">
        <v>76</v>
      </c>
    </row>
    <row r="2024" spans="1:9" x14ac:dyDescent="0.3">
      <c r="A2024">
        <v>5005</v>
      </c>
      <c r="B2024" t="s">
        <v>205</v>
      </c>
      <c r="C2024" t="s">
        <v>121</v>
      </c>
      <c r="D2024" t="s">
        <v>67</v>
      </c>
      <c r="E2024" t="s">
        <v>1468</v>
      </c>
      <c r="F2024" s="13">
        <v>2</v>
      </c>
      <c r="G2024" s="14">
        <v>1307.3399999999999</v>
      </c>
      <c r="H2024" s="13">
        <v>171</v>
      </c>
      <c r="I2024" t="s">
        <v>76</v>
      </c>
    </row>
    <row r="2025" spans="1:9" x14ac:dyDescent="0.3">
      <c r="A2025">
        <v>6107</v>
      </c>
      <c r="B2025" t="s">
        <v>191</v>
      </c>
      <c r="C2025" t="s">
        <v>92</v>
      </c>
      <c r="D2025" t="s">
        <v>64</v>
      </c>
      <c r="E2025" t="s">
        <v>1468</v>
      </c>
      <c r="F2025" s="13">
        <v>1</v>
      </c>
      <c r="G2025" s="14">
        <v>640.86</v>
      </c>
      <c r="H2025" s="13">
        <v>171</v>
      </c>
      <c r="I2025" t="s">
        <v>76</v>
      </c>
    </row>
    <row r="2026" spans="1:9" x14ac:dyDescent="0.3">
      <c r="A2026">
        <v>6866</v>
      </c>
      <c r="B2026" t="s">
        <v>257</v>
      </c>
      <c r="C2026" t="s">
        <v>123</v>
      </c>
      <c r="D2026" t="s">
        <v>65</v>
      </c>
      <c r="E2026" t="s">
        <v>1468</v>
      </c>
      <c r="F2026" s="13">
        <v>5</v>
      </c>
      <c r="G2026" s="14">
        <v>10100.85</v>
      </c>
      <c r="H2026" s="13">
        <v>171</v>
      </c>
      <c r="I2026" t="s">
        <v>76</v>
      </c>
    </row>
    <row r="2027" spans="1:9" x14ac:dyDescent="0.3">
      <c r="A2027">
        <v>7464</v>
      </c>
      <c r="B2027" t="s">
        <v>1471</v>
      </c>
      <c r="C2027" t="s">
        <v>133</v>
      </c>
      <c r="D2027" t="s">
        <v>64</v>
      </c>
      <c r="E2027" t="s">
        <v>1468</v>
      </c>
      <c r="F2027" s="13">
        <v>3</v>
      </c>
      <c r="G2027" s="14">
        <v>4042.27</v>
      </c>
      <c r="H2027" s="13">
        <v>171</v>
      </c>
      <c r="I2027" t="s">
        <v>76</v>
      </c>
    </row>
    <row r="2028" spans="1:9" x14ac:dyDescent="0.3">
      <c r="A2028">
        <v>8746</v>
      </c>
      <c r="B2028" t="s">
        <v>404</v>
      </c>
      <c r="C2028" t="s">
        <v>92</v>
      </c>
      <c r="D2028" t="s">
        <v>64</v>
      </c>
      <c r="E2028" t="s">
        <v>1468</v>
      </c>
      <c r="F2028" s="13">
        <v>1</v>
      </c>
      <c r="G2028" s="14">
        <v>722.51</v>
      </c>
      <c r="H2028" s="13">
        <v>171</v>
      </c>
      <c r="I2028" t="s">
        <v>76</v>
      </c>
    </row>
    <row r="2029" spans="1:9" x14ac:dyDescent="0.3">
      <c r="A2029">
        <v>8918</v>
      </c>
      <c r="B2029" t="s">
        <v>426</v>
      </c>
      <c r="C2029" t="s">
        <v>90</v>
      </c>
      <c r="D2029" t="s">
        <v>66</v>
      </c>
      <c r="E2029" t="s">
        <v>1468</v>
      </c>
      <c r="F2029" s="13">
        <v>2</v>
      </c>
      <c r="G2029" s="14">
        <v>4558.49</v>
      </c>
      <c r="H2029" s="13">
        <v>171</v>
      </c>
      <c r="I2029" t="s">
        <v>76</v>
      </c>
    </row>
    <row r="2030" spans="1:9" x14ac:dyDescent="0.3">
      <c r="A2030">
        <v>472</v>
      </c>
      <c r="B2030" t="s">
        <v>109</v>
      </c>
      <c r="C2030" t="s">
        <v>92</v>
      </c>
      <c r="D2030" t="s">
        <v>64</v>
      </c>
      <c r="E2030" t="s">
        <v>1472</v>
      </c>
      <c r="F2030" s="13">
        <v>3</v>
      </c>
      <c r="G2030" s="14">
        <v>5688.58</v>
      </c>
      <c r="H2030" s="13">
        <v>170</v>
      </c>
      <c r="I2030" t="s">
        <v>76</v>
      </c>
    </row>
    <row r="2031" spans="1:9" x14ac:dyDescent="0.3">
      <c r="A2031">
        <v>2413</v>
      </c>
      <c r="B2031" t="s">
        <v>1473</v>
      </c>
      <c r="C2031" t="s">
        <v>90</v>
      </c>
      <c r="D2031" t="s">
        <v>66</v>
      </c>
      <c r="E2031" t="s">
        <v>1472</v>
      </c>
      <c r="F2031" s="13">
        <v>1</v>
      </c>
      <c r="G2031" s="14">
        <v>5657.08</v>
      </c>
      <c r="H2031" s="13">
        <v>170</v>
      </c>
      <c r="I2031" t="s">
        <v>76</v>
      </c>
    </row>
    <row r="2032" spans="1:9" x14ac:dyDescent="0.3">
      <c r="A2032">
        <v>2417</v>
      </c>
      <c r="B2032" t="s">
        <v>120</v>
      </c>
      <c r="C2032" t="s">
        <v>100</v>
      </c>
      <c r="D2032" t="s">
        <v>66</v>
      </c>
      <c r="E2032" t="s">
        <v>1472</v>
      </c>
      <c r="F2032" s="13">
        <v>1</v>
      </c>
      <c r="G2032" s="14">
        <v>270.89999999999998</v>
      </c>
      <c r="H2032" s="13">
        <v>170</v>
      </c>
      <c r="I2032" t="s">
        <v>76</v>
      </c>
    </row>
    <row r="2033" spans="1:9" x14ac:dyDescent="0.3">
      <c r="A2033">
        <v>2941</v>
      </c>
      <c r="B2033" t="s">
        <v>142</v>
      </c>
      <c r="C2033" t="s">
        <v>90</v>
      </c>
      <c r="D2033" t="s">
        <v>66</v>
      </c>
      <c r="E2033" t="s">
        <v>1472</v>
      </c>
      <c r="F2033" s="13">
        <v>2</v>
      </c>
      <c r="G2033" s="14">
        <v>3717.32</v>
      </c>
      <c r="H2033" s="13">
        <v>170</v>
      </c>
      <c r="I2033" t="s">
        <v>76</v>
      </c>
    </row>
    <row r="2034" spans="1:9" x14ac:dyDescent="0.3">
      <c r="A2034">
        <v>4340</v>
      </c>
      <c r="B2034" t="s">
        <v>323</v>
      </c>
      <c r="C2034" t="s">
        <v>92</v>
      </c>
      <c r="D2034" t="s">
        <v>64</v>
      </c>
      <c r="E2034" t="s">
        <v>1472</v>
      </c>
      <c r="F2034" s="13">
        <v>3</v>
      </c>
      <c r="G2034" s="14">
        <v>5660.33</v>
      </c>
      <c r="H2034" s="13">
        <v>170</v>
      </c>
      <c r="I2034" t="s">
        <v>76</v>
      </c>
    </row>
    <row r="2035" spans="1:9" x14ac:dyDescent="0.3">
      <c r="A2035">
        <v>4555</v>
      </c>
      <c r="B2035" t="s">
        <v>251</v>
      </c>
      <c r="C2035" t="s">
        <v>92</v>
      </c>
      <c r="D2035" t="s">
        <v>64</v>
      </c>
      <c r="E2035" t="s">
        <v>1472</v>
      </c>
      <c r="F2035" s="13">
        <v>3</v>
      </c>
      <c r="G2035" s="14">
        <v>1215.1199999999999</v>
      </c>
      <c r="H2035" s="13">
        <v>170</v>
      </c>
      <c r="I2035" t="s">
        <v>76</v>
      </c>
    </row>
    <row r="2036" spans="1:9" x14ac:dyDescent="0.3">
      <c r="A2036">
        <v>6580</v>
      </c>
      <c r="B2036" t="s">
        <v>1474</v>
      </c>
      <c r="C2036" t="s">
        <v>97</v>
      </c>
      <c r="D2036" t="s">
        <v>65</v>
      </c>
      <c r="E2036" t="s">
        <v>1472</v>
      </c>
      <c r="F2036" s="13">
        <v>2</v>
      </c>
      <c r="G2036" s="14">
        <v>564.49</v>
      </c>
      <c r="H2036" s="13">
        <v>170</v>
      </c>
      <c r="I2036" t="s">
        <v>76</v>
      </c>
    </row>
    <row r="2037" spans="1:9" x14ac:dyDescent="0.3">
      <c r="A2037">
        <v>6605</v>
      </c>
      <c r="B2037" t="s">
        <v>1475</v>
      </c>
      <c r="C2037" t="s">
        <v>103</v>
      </c>
      <c r="D2037" t="s">
        <v>67</v>
      </c>
      <c r="E2037" t="s">
        <v>1472</v>
      </c>
      <c r="F2037" s="13">
        <v>2</v>
      </c>
      <c r="G2037" s="14">
        <v>4432.28</v>
      </c>
      <c r="H2037" s="13">
        <v>170</v>
      </c>
      <c r="I2037" t="s">
        <v>76</v>
      </c>
    </row>
    <row r="2038" spans="1:9" x14ac:dyDescent="0.3">
      <c r="A2038">
        <v>7698</v>
      </c>
      <c r="B2038" t="s">
        <v>1476</v>
      </c>
      <c r="C2038" t="s">
        <v>92</v>
      </c>
      <c r="D2038" t="s">
        <v>64</v>
      </c>
      <c r="E2038" t="s">
        <v>1472</v>
      </c>
      <c r="F2038" s="13">
        <v>4</v>
      </c>
      <c r="G2038" s="14">
        <v>4215.8</v>
      </c>
      <c r="H2038" s="13">
        <v>170</v>
      </c>
      <c r="I2038" t="s">
        <v>76</v>
      </c>
    </row>
    <row r="2039" spans="1:9" x14ac:dyDescent="0.3">
      <c r="A2039">
        <v>8678</v>
      </c>
      <c r="B2039" t="s">
        <v>751</v>
      </c>
      <c r="C2039" t="s">
        <v>92</v>
      </c>
      <c r="D2039" t="s">
        <v>64</v>
      </c>
      <c r="E2039" t="s">
        <v>1472</v>
      </c>
      <c r="F2039" s="13">
        <v>1</v>
      </c>
      <c r="G2039" s="14">
        <v>269</v>
      </c>
      <c r="H2039" s="13">
        <v>170</v>
      </c>
      <c r="I2039" t="s">
        <v>76</v>
      </c>
    </row>
    <row r="2040" spans="1:9" x14ac:dyDescent="0.3">
      <c r="A2040">
        <v>1258</v>
      </c>
      <c r="B2040" t="s">
        <v>840</v>
      </c>
      <c r="C2040" t="s">
        <v>103</v>
      </c>
      <c r="D2040" t="s">
        <v>67</v>
      </c>
      <c r="E2040" t="s">
        <v>1477</v>
      </c>
      <c r="F2040" s="13">
        <v>2</v>
      </c>
      <c r="G2040" s="14">
        <v>3178.01</v>
      </c>
      <c r="H2040" s="13">
        <v>169</v>
      </c>
      <c r="I2040" t="s">
        <v>76</v>
      </c>
    </row>
    <row r="2041" spans="1:9" x14ac:dyDescent="0.3">
      <c r="A2041">
        <v>2911</v>
      </c>
      <c r="B2041" t="s">
        <v>1434</v>
      </c>
      <c r="C2041" t="s">
        <v>95</v>
      </c>
      <c r="D2041" t="s">
        <v>65</v>
      </c>
      <c r="E2041" t="s">
        <v>1477</v>
      </c>
      <c r="F2041" s="13">
        <v>1</v>
      </c>
      <c r="G2041" s="14">
        <v>388.94</v>
      </c>
      <c r="H2041" s="13">
        <v>169</v>
      </c>
      <c r="I2041" t="s">
        <v>76</v>
      </c>
    </row>
    <row r="2042" spans="1:9" x14ac:dyDescent="0.3">
      <c r="A2042">
        <v>3658</v>
      </c>
      <c r="B2042" t="s">
        <v>1000</v>
      </c>
      <c r="C2042" t="s">
        <v>133</v>
      </c>
      <c r="D2042" t="s">
        <v>64</v>
      </c>
      <c r="E2042" t="s">
        <v>1477</v>
      </c>
      <c r="F2042" s="13">
        <v>1</v>
      </c>
      <c r="G2042" s="14">
        <v>178.34</v>
      </c>
      <c r="H2042" s="13">
        <v>169</v>
      </c>
      <c r="I2042" t="s">
        <v>76</v>
      </c>
    </row>
    <row r="2043" spans="1:9" x14ac:dyDescent="0.3">
      <c r="A2043">
        <v>3821</v>
      </c>
      <c r="B2043" t="s">
        <v>1448</v>
      </c>
      <c r="C2043" t="s">
        <v>92</v>
      </c>
      <c r="D2043" t="s">
        <v>64</v>
      </c>
      <c r="E2043" t="s">
        <v>1477</v>
      </c>
      <c r="F2043" s="13">
        <v>2</v>
      </c>
      <c r="G2043" s="14">
        <v>1920.1</v>
      </c>
      <c r="H2043" s="13">
        <v>169</v>
      </c>
      <c r="I2043" t="s">
        <v>76</v>
      </c>
    </row>
    <row r="2044" spans="1:9" x14ac:dyDescent="0.3">
      <c r="A2044">
        <v>4030</v>
      </c>
      <c r="B2044" t="s">
        <v>205</v>
      </c>
      <c r="C2044" t="s">
        <v>133</v>
      </c>
      <c r="D2044" t="s">
        <v>64</v>
      </c>
      <c r="E2044" t="s">
        <v>1477</v>
      </c>
      <c r="F2044" s="13">
        <v>2</v>
      </c>
      <c r="G2044" s="14">
        <v>3656.03</v>
      </c>
      <c r="H2044" s="13">
        <v>169</v>
      </c>
      <c r="I2044" t="s">
        <v>76</v>
      </c>
    </row>
    <row r="2045" spans="1:9" x14ac:dyDescent="0.3">
      <c r="A2045">
        <v>4261</v>
      </c>
      <c r="B2045" t="s">
        <v>1478</v>
      </c>
      <c r="C2045" t="s">
        <v>92</v>
      </c>
      <c r="D2045" t="s">
        <v>64</v>
      </c>
      <c r="E2045" t="s">
        <v>1477</v>
      </c>
      <c r="F2045" s="13">
        <v>1</v>
      </c>
      <c r="G2045" s="14">
        <v>112.73</v>
      </c>
      <c r="H2045" s="13">
        <v>169</v>
      </c>
      <c r="I2045" t="s">
        <v>76</v>
      </c>
    </row>
    <row r="2046" spans="1:9" x14ac:dyDescent="0.3">
      <c r="A2046">
        <v>4304</v>
      </c>
      <c r="B2046" t="s">
        <v>1479</v>
      </c>
      <c r="C2046" t="s">
        <v>114</v>
      </c>
      <c r="D2046" t="s">
        <v>66</v>
      </c>
      <c r="E2046" t="s">
        <v>1477</v>
      </c>
      <c r="F2046" s="13">
        <v>4</v>
      </c>
      <c r="G2046" s="14">
        <v>2721.29</v>
      </c>
      <c r="H2046" s="13">
        <v>169</v>
      </c>
      <c r="I2046" t="s">
        <v>76</v>
      </c>
    </row>
    <row r="2047" spans="1:9" x14ac:dyDescent="0.3">
      <c r="A2047">
        <v>4549</v>
      </c>
      <c r="B2047" t="s">
        <v>1480</v>
      </c>
      <c r="C2047" t="s">
        <v>137</v>
      </c>
      <c r="D2047" t="s">
        <v>64</v>
      </c>
      <c r="E2047" t="s">
        <v>1477</v>
      </c>
      <c r="F2047" s="13">
        <v>1</v>
      </c>
      <c r="G2047" s="14">
        <v>2481.98</v>
      </c>
      <c r="H2047" s="13">
        <v>169</v>
      </c>
      <c r="I2047" t="s">
        <v>76</v>
      </c>
    </row>
    <row r="2048" spans="1:9" x14ac:dyDescent="0.3">
      <c r="A2048">
        <v>5943</v>
      </c>
      <c r="B2048" t="s">
        <v>760</v>
      </c>
      <c r="C2048" t="s">
        <v>137</v>
      </c>
      <c r="D2048" t="s">
        <v>64</v>
      </c>
      <c r="E2048" t="s">
        <v>1477</v>
      </c>
      <c r="F2048" s="13">
        <v>2</v>
      </c>
      <c r="G2048" s="14">
        <v>2793.87</v>
      </c>
      <c r="H2048" s="13">
        <v>169</v>
      </c>
      <c r="I2048" t="s">
        <v>76</v>
      </c>
    </row>
    <row r="2049" spans="1:9" x14ac:dyDescent="0.3">
      <c r="A2049">
        <v>7238</v>
      </c>
      <c r="B2049" t="s">
        <v>178</v>
      </c>
      <c r="C2049" t="s">
        <v>133</v>
      </c>
      <c r="D2049" t="s">
        <v>64</v>
      </c>
      <c r="E2049" t="s">
        <v>1477</v>
      </c>
      <c r="F2049" s="13">
        <v>1</v>
      </c>
      <c r="G2049" s="14">
        <v>308.7</v>
      </c>
      <c r="H2049" s="13">
        <v>169</v>
      </c>
      <c r="I2049" t="s">
        <v>76</v>
      </c>
    </row>
    <row r="2050" spans="1:9" x14ac:dyDescent="0.3">
      <c r="A2050">
        <v>7356</v>
      </c>
      <c r="B2050" t="s">
        <v>346</v>
      </c>
      <c r="C2050" t="s">
        <v>92</v>
      </c>
      <c r="D2050" t="s">
        <v>64</v>
      </c>
      <c r="E2050" t="s">
        <v>1477</v>
      </c>
      <c r="F2050" s="13">
        <v>2</v>
      </c>
      <c r="G2050" s="14">
        <v>2175.6999999999998</v>
      </c>
      <c r="H2050" s="13">
        <v>169</v>
      </c>
      <c r="I2050" t="s">
        <v>76</v>
      </c>
    </row>
    <row r="2051" spans="1:9" x14ac:dyDescent="0.3">
      <c r="A2051">
        <v>7935</v>
      </c>
      <c r="B2051" t="s">
        <v>1481</v>
      </c>
      <c r="C2051" t="s">
        <v>100</v>
      </c>
      <c r="D2051" t="s">
        <v>66</v>
      </c>
      <c r="E2051" t="s">
        <v>1477</v>
      </c>
      <c r="F2051" s="13">
        <v>3</v>
      </c>
      <c r="G2051" s="14">
        <v>3808.93</v>
      </c>
      <c r="H2051" s="13">
        <v>169</v>
      </c>
      <c r="I2051" t="s">
        <v>76</v>
      </c>
    </row>
    <row r="2052" spans="1:9" x14ac:dyDescent="0.3">
      <c r="A2052">
        <v>1142</v>
      </c>
      <c r="B2052" t="s">
        <v>1482</v>
      </c>
      <c r="C2052" t="s">
        <v>97</v>
      </c>
      <c r="D2052" t="s">
        <v>65</v>
      </c>
      <c r="E2052" t="s">
        <v>1483</v>
      </c>
      <c r="F2052" s="13">
        <v>3</v>
      </c>
      <c r="G2052" s="14">
        <v>6409.18</v>
      </c>
      <c r="H2052" s="13">
        <v>168</v>
      </c>
      <c r="I2052" t="s">
        <v>76</v>
      </c>
    </row>
    <row r="2053" spans="1:9" x14ac:dyDescent="0.3">
      <c r="A2053">
        <v>1940</v>
      </c>
      <c r="B2053" t="s">
        <v>540</v>
      </c>
      <c r="C2053" t="s">
        <v>90</v>
      </c>
      <c r="D2053" t="s">
        <v>66</v>
      </c>
      <c r="E2053" t="s">
        <v>1483</v>
      </c>
      <c r="F2053" s="13">
        <v>2</v>
      </c>
      <c r="G2053" s="14">
        <v>11599.57</v>
      </c>
      <c r="H2053" s="13">
        <v>168</v>
      </c>
      <c r="I2053" t="s">
        <v>76</v>
      </c>
    </row>
    <row r="2054" spans="1:9" x14ac:dyDescent="0.3">
      <c r="A2054">
        <v>2133</v>
      </c>
      <c r="B2054" t="s">
        <v>1484</v>
      </c>
      <c r="C2054" t="s">
        <v>92</v>
      </c>
      <c r="D2054" t="s">
        <v>64</v>
      </c>
      <c r="E2054" t="s">
        <v>1483</v>
      </c>
      <c r="F2054" s="13">
        <v>1</v>
      </c>
      <c r="G2054" s="14">
        <v>1932.86</v>
      </c>
      <c r="H2054" s="13">
        <v>168</v>
      </c>
      <c r="I2054" t="s">
        <v>76</v>
      </c>
    </row>
    <row r="2055" spans="1:9" x14ac:dyDescent="0.3">
      <c r="A2055">
        <v>2331</v>
      </c>
      <c r="B2055" t="s">
        <v>1485</v>
      </c>
      <c r="C2055" t="s">
        <v>100</v>
      </c>
      <c r="D2055" t="s">
        <v>66</v>
      </c>
      <c r="E2055" t="s">
        <v>1483</v>
      </c>
      <c r="F2055" s="13">
        <v>1</v>
      </c>
      <c r="G2055" s="14">
        <v>860.05</v>
      </c>
      <c r="H2055" s="13">
        <v>168</v>
      </c>
      <c r="I2055" t="s">
        <v>76</v>
      </c>
    </row>
    <row r="2056" spans="1:9" x14ac:dyDescent="0.3">
      <c r="A2056">
        <v>3373</v>
      </c>
      <c r="B2056" t="s">
        <v>610</v>
      </c>
      <c r="C2056" t="s">
        <v>92</v>
      </c>
      <c r="D2056" t="s">
        <v>64</v>
      </c>
      <c r="E2056" t="s">
        <v>1483</v>
      </c>
      <c r="F2056" s="13">
        <v>1</v>
      </c>
      <c r="G2056" s="14">
        <v>355.91</v>
      </c>
      <c r="H2056" s="13">
        <v>168</v>
      </c>
      <c r="I2056" t="s">
        <v>76</v>
      </c>
    </row>
    <row r="2057" spans="1:9" x14ac:dyDescent="0.3">
      <c r="A2057">
        <v>3812</v>
      </c>
      <c r="B2057" t="s">
        <v>1486</v>
      </c>
      <c r="C2057" t="s">
        <v>87</v>
      </c>
      <c r="D2057" t="s">
        <v>64</v>
      </c>
      <c r="E2057" t="s">
        <v>1483</v>
      </c>
      <c r="F2057" s="13">
        <v>3</v>
      </c>
      <c r="G2057" s="14">
        <v>1009.94</v>
      </c>
      <c r="H2057" s="13">
        <v>168</v>
      </c>
      <c r="I2057" t="s">
        <v>76</v>
      </c>
    </row>
    <row r="2058" spans="1:9" x14ac:dyDescent="0.3">
      <c r="A2058">
        <v>4949</v>
      </c>
      <c r="B2058" t="s">
        <v>1487</v>
      </c>
      <c r="C2058" t="s">
        <v>133</v>
      </c>
      <c r="D2058" t="s">
        <v>64</v>
      </c>
      <c r="E2058" t="s">
        <v>1483</v>
      </c>
      <c r="F2058" s="13">
        <v>2</v>
      </c>
      <c r="G2058" s="14">
        <v>8370.7000000000007</v>
      </c>
      <c r="H2058" s="13">
        <v>168</v>
      </c>
      <c r="I2058" t="s">
        <v>76</v>
      </c>
    </row>
    <row r="2059" spans="1:9" x14ac:dyDescent="0.3">
      <c r="A2059">
        <v>5084</v>
      </c>
      <c r="B2059" t="s">
        <v>1488</v>
      </c>
      <c r="C2059" t="s">
        <v>92</v>
      </c>
      <c r="D2059" t="s">
        <v>64</v>
      </c>
      <c r="E2059" t="s">
        <v>1483</v>
      </c>
      <c r="F2059" s="13">
        <v>2</v>
      </c>
      <c r="G2059" s="14">
        <v>753.9</v>
      </c>
      <c r="H2059" s="13">
        <v>168</v>
      </c>
      <c r="I2059" t="s">
        <v>76</v>
      </c>
    </row>
    <row r="2060" spans="1:9" x14ac:dyDescent="0.3">
      <c r="A2060">
        <v>5480</v>
      </c>
      <c r="B2060" t="s">
        <v>1489</v>
      </c>
      <c r="C2060" t="s">
        <v>92</v>
      </c>
      <c r="D2060" t="s">
        <v>64</v>
      </c>
      <c r="E2060" t="s">
        <v>1483</v>
      </c>
      <c r="F2060" s="13">
        <v>3</v>
      </c>
      <c r="G2060" s="14">
        <v>6757.56</v>
      </c>
      <c r="H2060" s="13">
        <v>168</v>
      </c>
      <c r="I2060" t="s">
        <v>76</v>
      </c>
    </row>
    <row r="2061" spans="1:9" x14ac:dyDescent="0.3">
      <c r="A2061">
        <v>5587</v>
      </c>
      <c r="B2061" t="s">
        <v>1490</v>
      </c>
      <c r="C2061" t="s">
        <v>123</v>
      </c>
      <c r="D2061" t="s">
        <v>65</v>
      </c>
      <c r="E2061" t="s">
        <v>1483</v>
      </c>
      <c r="F2061" s="13">
        <v>2</v>
      </c>
      <c r="G2061" s="14">
        <v>4355.55</v>
      </c>
      <c r="H2061" s="13">
        <v>168</v>
      </c>
      <c r="I2061" t="s">
        <v>76</v>
      </c>
    </row>
    <row r="2062" spans="1:9" x14ac:dyDescent="0.3">
      <c r="A2062">
        <v>5605</v>
      </c>
      <c r="B2062" t="s">
        <v>1491</v>
      </c>
      <c r="C2062" t="s">
        <v>133</v>
      </c>
      <c r="D2062" t="s">
        <v>64</v>
      </c>
      <c r="E2062" t="s">
        <v>1483</v>
      </c>
      <c r="F2062" s="13">
        <v>2</v>
      </c>
      <c r="G2062" s="14">
        <v>3063.29</v>
      </c>
      <c r="H2062" s="13">
        <v>168</v>
      </c>
      <c r="I2062" t="s">
        <v>76</v>
      </c>
    </row>
    <row r="2063" spans="1:9" x14ac:dyDescent="0.3">
      <c r="A2063">
        <v>5665</v>
      </c>
      <c r="B2063" t="s">
        <v>527</v>
      </c>
      <c r="C2063" t="s">
        <v>92</v>
      </c>
      <c r="D2063" t="s">
        <v>64</v>
      </c>
      <c r="E2063" t="s">
        <v>1483</v>
      </c>
      <c r="F2063" s="13">
        <v>1</v>
      </c>
      <c r="G2063" s="14">
        <v>4114.67</v>
      </c>
      <c r="H2063" s="13">
        <v>168</v>
      </c>
      <c r="I2063" t="s">
        <v>76</v>
      </c>
    </row>
    <row r="2064" spans="1:9" x14ac:dyDescent="0.3">
      <c r="A2064">
        <v>6289</v>
      </c>
      <c r="B2064" t="s">
        <v>662</v>
      </c>
      <c r="C2064" t="s">
        <v>121</v>
      </c>
      <c r="D2064" t="s">
        <v>67</v>
      </c>
      <c r="E2064" t="s">
        <v>1483</v>
      </c>
      <c r="F2064" s="13">
        <v>3</v>
      </c>
      <c r="G2064" s="14">
        <v>677.59</v>
      </c>
      <c r="H2064" s="13">
        <v>168</v>
      </c>
      <c r="I2064" t="s">
        <v>76</v>
      </c>
    </row>
    <row r="2065" spans="1:9" x14ac:dyDescent="0.3">
      <c r="A2065">
        <v>6570</v>
      </c>
      <c r="B2065" t="s">
        <v>1492</v>
      </c>
      <c r="C2065" t="s">
        <v>97</v>
      </c>
      <c r="D2065" t="s">
        <v>65</v>
      </c>
      <c r="E2065" t="s">
        <v>1483</v>
      </c>
      <c r="F2065" s="13">
        <v>2</v>
      </c>
      <c r="G2065" s="14">
        <v>243.05</v>
      </c>
      <c r="H2065" s="13">
        <v>168</v>
      </c>
      <c r="I2065" t="s">
        <v>76</v>
      </c>
    </row>
    <row r="2066" spans="1:9" x14ac:dyDescent="0.3">
      <c r="A2066">
        <v>7968</v>
      </c>
      <c r="B2066" t="s">
        <v>632</v>
      </c>
      <c r="C2066" t="s">
        <v>97</v>
      </c>
      <c r="D2066" t="s">
        <v>65</v>
      </c>
      <c r="E2066" t="s">
        <v>1483</v>
      </c>
      <c r="F2066" s="13">
        <v>1</v>
      </c>
      <c r="G2066" s="14">
        <v>321.43</v>
      </c>
      <c r="H2066" s="13">
        <v>168</v>
      </c>
      <c r="I2066" t="s">
        <v>76</v>
      </c>
    </row>
    <row r="2067" spans="1:9" x14ac:dyDescent="0.3">
      <c r="A2067">
        <v>162</v>
      </c>
      <c r="B2067" t="s">
        <v>1493</v>
      </c>
      <c r="C2067" t="s">
        <v>90</v>
      </c>
      <c r="D2067" t="s">
        <v>66</v>
      </c>
      <c r="E2067" t="s">
        <v>1494</v>
      </c>
      <c r="F2067" s="13">
        <v>3</v>
      </c>
      <c r="G2067" s="14">
        <v>7303.43</v>
      </c>
      <c r="H2067" s="13">
        <v>167</v>
      </c>
      <c r="I2067" t="s">
        <v>76</v>
      </c>
    </row>
    <row r="2068" spans="1:9" x14ac:dyDescent="0.3">
      <c r="A2068">
        <v>808</v>
      </c>
      <c r="B2068" t="s">
        <v>1495</v>
      </c>
      <c r="C2068" t="s">
        <v>103</v>
      </c>
      <c r="D2068" t="s">
        <v>67</v>
      </c>
      <c r="E2068" t="s">
        <v>1494</v>
      </c>
      <c r="F2068" s="13">
        <v>3</v>
      </c>
      <c r="G2068" s="14">
        <v>6900.96</v>
      </c>
      <c r="H2068" s="13">
        <v>167</v>
      </c>
      <c r="I2068" t="s">
        <v>76</v>
      </c>
    </row>
    <row r="2069" spans="1:9" x14ac:dyDescent="0.3">
      <c r="A2069">
        <v>1741</v>
      </c>
      <c r="B2069" t="s">
        <v>559</v>
      </c>
      <c r="C2069" t="s">
        <v>97</v>
      </c>
      <c r="D2069" t="s">
        <v>65</v>
      </c>
      <c r="E2069" t="s">
        <v>1494</v>
      </c>
      <c r="F2069" s="13">
        <v>3</v>
      </c>
      <c r="G2069" s="14">
        <v>5263.53</v>
      </c>
      <c r="H2069" s="13">
        <v>167</v>
      </c>
      <c r="I2069" t="s">
        <v>76</v>
      </c>
    </row>
    <row r="2070" spans="1:9" x14ac:dyDescent="0.3">
      <c r="A2070">
        <v>2184</v>
      </c>
      <c r="B2070" t="s">
        <v>1184</v>
      </c>
      <c r="C2070" t="s">
        <v>90</v>
      </c>
      <c r="D2070" t="s">
        <v>66</v>
      </c>
      <c r="E2070" t="s">
        <v>1494</v>
      </c>
      <c r="F2070" s="13">
        <v>1</v>
      </c>
      <c r="G2070" s="14">
        <v>261.87</v>
      </c>
      <c r="H2070" s="13">
        <v>167</v>
      </c>
      <c r="I2070" t="s">
        <v>76</v>
      </c>
    </row>
    <row r="2071" spans="1:9" x14ac:dyDescent="0.3">
      <c r="A2071">
        <v>2752</v>
      </c>
      <c r="B2071" t="s">
        <v>1496</v>
      </c>
      <c r="C2071" t="s">
        <v>137</v>
      </c>
      <c r="D2071" t="s">
        <v>64</v>
      </c>
      <c r="E2071" t="s">
        <v>1494</v>
      </c>
      <c r="F2071" s="13">
        <v>1</v>
      </c>
      <c r="G2071" s="14">
        <v>321.8</v>
      </c>
      <c r="H2071" s="13">
        <v>167</v>
      </c>
      <c r="I2071" t="s">
        <v>76</v>
      </c>
    </row>
    <row r="2072" spans="1:9" x14ac:dyDescent="0.3">
      <c r="A2072">
        <v>3006</v>
      </c>
      <c r="B2072" t="s">
        <v>423</v>
      </c>
      <c r="C2072" t="s">
        <v>95</v>
      </c>
      <c r="D2072" t="s">
        <v>65</v>
      </c>
      <c r="E2072" t="s">
        <v>1494</v>
      </c>
      <c r="F2072" s="13">
        <v>1</v>
      </c>
      <c r="G2072" s="14">
        <v>4670.34</v>
      </c>
      <c r="H2072" s="13">
        <v>167</v>
      </c>
      <c r="I2072" t="s">
        <v>76</v>
      </c>
    </row>
    <row r="2073" spans="1:9" x14ac:dyDescent="0.3">
      <c r="A2073">
        <v>3452</v>
      </c>
      <c r="B2073" t="s">
        <v>494</v>
      </c>
      <c r="C2073" t="s">
        <v>103</v>
      </c>
      <c r="D2073" t="s">
        <v>67</v>
      </c>
      <c r="E2073" t="s">
        <v>1494</v>
      </c>
      <c r="F2073" s="13">
        <v>2</v>
      </c>
      <c r="G2073" s="14">
        <v>1945.24</v>
      </c>
      <c r="H2073" s="13">
        <v>167</v>
      </c>
      <c r="I2073" t="s">
        <v>76</v>
      </c>
    </row>
    <row r="2074" spans="1:9" x14ac:dyDescent="0.3">
      <c r="A2074">
        <v>3957</v>
      </c>
      <c r="B2074" t="s">
        <v>1497</v>
      </c>
      <c r="C2074" t="s">
        <v>95</v>
      </c>
      <c r="D2074" t="s">
        <v>65</v>
      </c>
      <c r="E2074" t="s">
        <v>1494</v>
      </c>
      <c r="F2074" s="13">
        <v>7</v>
      </c>
      <c r="G2074" s="14">
        <v>9755.23</v>
      </c>
      <c r="H2074" s="13">
        <v>167</v>
      </c>
      <c r="I2074" t="s">
        <v>76</v>
      </c>
    </row>
    <row r="2075" spans="1:9" x14ac:dyDescent="0.3">
      <c r="A2075">
        <v>5270</v>
      </c>
      <c r="B2075" t="s">
        <v>1498</v>
      </c>
      <c r="C2075" t="s">
        <v>133</v>
      </c>
      <c r="D2075" t="s">
        <v>64</v>
      </c>
      <c r="E2075" t="s">
        <v>1494</v>
      </c>
      <c r="F2075" s="13">
        <v>1</v>
      </c>
      <c r="G2075" s="14">
        <v>6413.14</v>
      </c>
      <c r="H2075" s="13">
        <v>167</v>
      </c>
      <c r="I2075" t="s">
        <v>76</v>
      </c>
    </row>
    <row r="2076" spans="1:9" x14ac:dyDescent="0.3">
      <c r="A2076">
        <v>5300</v>
      </c>
      <c r="B2076" t="s">
        <v>559</v>
      </c>
      <c r="C2076" t="s">
        <v>133</v>
      </c>
      <c r="D2076" t="s">
        <v>64</v>
      </c>
      <c r="E2076" t="s">
        <v>1494</v>
      </c>
      <c r="F2076" s="13">
        <v>4</v>
      </c>
      <c r="G2076" s="14">
        <v>2625.23</v>
      </c>
      <c r="H2076" s="13">
        <v>167</v>
      </c>
      <c r="I2076" t="s">
        <v>76</v>
      </c>
    </row>
    <row r="2077" spans="1:9" x14ac:dyDescent="0.3">
      <c r="A2077">
        <v>5574</v>
      </c>
      <c r="B2077" t="s">
        <v>1121</v>
      </c>
      <c r="C2077" t="s">
        <v>133</v>
      </c>
      <c r="D2077" t="s">
        <v>64</v>
      </c>
      <c r="E2077" t="s">
        <v>1494</v>
      </c>
      <c r="F2077" s="13">
        <v>4</v>
      </c>
      <c r="G2077" s="14">
        <v>15092.02</v>
      </c>
      <c r="H2077" s="13">
        <v>167</v>
      </c>
      <c r="I2077" t="s">
        <v>76</v>
      </c>
    </row>
    <row r="2078" spans="1:9" x14ac:dyDescent="0.3">
      <c r="A2078">
        <v>7233</v>
      </c>
      <c r="B2078" t="s">
        <v>1499</v>
      </c>
      <c r="C2078" t="s">
        <v>90</v>
      </c>
      <c r="D2078" t="s">
        <v>66</v>
      </c>
      <c r="E2078" t="s">
        <v>1494</v>
      </c>
      <c r="F2078" s="13">
        <v>3</v>
      </c>
      <c r="G2078" s="14">
        <v>5079.58</v>
      </c>
      <c r="H2078" s="13">
        <v>167</v>
      </c>
      <c r="I2078" t="s">
        <v>76</v>
      </c>
    </row>
    <row r="2079" spans="1:9" x14ac:dyDescent="0.3">
      <c r="A2079">
        <v>7712</v>
      </c>
      <c r="B2079" t="s">
        <v>327</v>
      </c>
      <c r="C2079" t="s">
        <v>95</v>
      </c>
      <c r="D2079" t="s">
        <v>65</v>
      </c>
      <c r="E2079" t="s">
        <v>1494</v>
      </c>
      <c r="F2079" s="13">
        <v>6</v>
      </c>
      <c r="G2079" s="14">
        <v>7741.46</v>
      </c>
      <c r="H2079" s="13">
        <v>167</v>
      </c>
      <c r="I2079" t="s">
        <v>76</v>
      </c>
    </row>
    <row r="2080" spans="1:9" x14ac:dyDescent="0.3">
      <c r="A2080">
        <v>1591</v>
      </c>
      <c r="B2080" t="s">
        <v>1500</v>
      </c>
      <c r="C2080" t="s">
        <v>97</v>
      </c>
      <c r="D2080" t="s">
        <v>65</v>
      </c>
      <c r="E2080" t="s">
        <v>1501</v>
      </c>
      <c r="F2080" s="13">
        <v>4</v>
      </c>
      <c r="G2080" s="14">
        <v>1235.33</v>
      </c>
      <c r="H2080" s="13">
        <v>166</v>
      </c>
      <c r="I2080" t="s">
        <v>76</v>
      </c>
    </row>
    <row r="2081" spans="1:9" x14ac:dyDescent="0.3">
      <c r="A2081">
        <v>2336</v>
      </c>
      <c r="B2081" t="s">
        <v>1502</v>
      </c>
      <c r="C2081" t="s">
        <v>133</v>
      </c>
      <c r="D2081" t="s">
        <v>64</v>
      </c>
      <c r="E2081" t="s">
        <v>1501</v>
      </c>
      <c r="F2081" s="13">
        <v>2</v>
      </c>
      <c r="G2081" s="14">
        <v>4183.7299999999996</v>
      </c>
      <c r="H2081" s="13">
        <v>166</v>
      </c>
      <c r="I2081" t="s">
        <v>76</v>
      </c>
    </row>
    <row r="2082" spans="1:9" x14ac:dyDescent="0.3">
      <c r="A2082">
        <v>3040</v>
      </c>
      <c r="B2082" t="s">
        <v>1503</v>
      </c>
      <c r="C2082" t="s">
        <v>137</v>
      </c>
      <c r="D2082" t="s">
        <v>64</v>
      </c>
      <c r="E2082" t="s">
        <v>1501</v>
      </c>
      <c r="F2082" s="13">
        <v>1</v>
      </c>
      <c r="G2082" s="14">
        <v>260.16000000000003</v>
      </c>
      <c r="H2082" s="13">
        <v>166</v>
      </c>
      <c r="I2082" t="s">
        <v>76</v>
      </c>
    </row>
    <row r="2083" spans="1:9" x14ac:dyDescent="0.3">
      <c r="A2083">
        <v>3930</v>
      </c>
      <c r="B2083" t="s">
        <v>135</v>
      </c>
      <c r="C2083" t="s">
        <v>137</v>
      </c>
      <c r="D2083" t="s">
        <v>64</v>
      </c>
      <c r="E2083" t="s">
        <v>1501</v>
      </c>
      <c r="F2083" s="13">
        <v>1</v>
      </c>
      <c r="G2083" s="14">
        <v>634.95000000000005</v>
      </c>
      <c r="H2083" s="13">
        <v>166</v>
      </c>
      <c r="I2083" t="s">
        <v>76</v>
      </c>
    </row>
    <row r="2084" spans="1:9" x14ac:dyDescent="0.3">
      <c r="A2084">
        <v>4351</v>
      </c>
      <c r="B2084" t="s">
        <v>1504</v>
      </c>
      <c r="C2084" t="s">
        <v>95</v>
      </c>
      <c r="D2084" t="s">
        <v>65</v>
      </c>
      <c r="E2084" t="s">
        <v>1501</v>
      </c>
      <c r="F2084" s="13">
        <v>1</v>
      </c>
      <c r="G2084" s="14">
        <v>166.08</v>
      </c>
      <c r="H2084" s="13">
        <v>166</v>
      </c>
      <c r="I2084" t="s">
        <v>76</v>
      </c>
    </row>
    <row r="2085" spans="1:9" x14ac:dyDescent="0.3">
      <c r="A2085">
        <v>6956</v>
      </c>
      <c r="B2085" t="s">
        <v>113</v>
      </c>
      <c r="C2085" t="s">
        <v>92</v>
      </c>
      <c r="D2085" t="s">
        <v>64</v>
      </c>
      <c r="E2085" t="s">
        <v>1501</v>
      </c>
      <c r="F2085" s="13">
        <v>2</v>
      </c>
      <c r="G2085" s="14">
        <v>1140.6300000000001</v>
      </c>
      <c r="H2085" s="13">
        <v>166</v>
      </c>
      <c r="I2085" t="s">
        <v>76</v>
      </c>
    </row>
    <row r="2086" spans="1:9" x14ac:dyDescent="0.3">
      <c r="A2086">
        <v>7974</v>
      </c>
      <c r="B2086" t="s">
        <v>438</v>
      </c>
      <c r="C2086" t="s">
        <v>92</v>
      </c>
      <c r="D2086" t="s">
        <v>64</v>
      </c>
      <c r="E2086" t="s">
        <v>1501</v>
      </c>
      <c r="F2086" s="13">
        <v>3</v>
      </c>
      <c r="G2086" s="14">
        <v>2108.6</v>
      </c>
      <c r="H2086" s="13">
        <v>166</v>
      </c>
      <c r="I2086" t="s">
        <v>76</v>
      </c>
    </row>
    <row r="2087" spans="1:9" x14ac:dyDescent="0.3">
      <c r="A2087">
        <v>7994</v>
      </c>
      <c r="B2087" t="s">
        <v>582</v>
      </c>
      <c r="C2087" t="s">
        <v>123</v>
      </c>
      <c r="D2087" t="s">
        <v>65</v>
      </c>
      <c r="E2087" t="s">
        <v>1501</v>
      </c>
      <c r="F2087" s="13">
        <v>5</v>
      </c>
      <c r="G2087" s="14">
        <v>16723.91</v>
      </c>
      <c r="H2087" s="13">
        <v>166</v>
      </c>
      <c r="I2087" t="s">
        <v>76</v>
      </c>
    </row>
    <row r="2088" spans="1:9" x14ac:dyDescent="0.3">
      <c r="A2088">
        <v>8166</v>
      </c>
      <c r="B2088" t="s">
        <v>1505</v>
      </c>
      <c r="C2088" t="s">
        <v>114</v>
      </c>
      <c r="D2088" t="s">
        <v>66</v>
      </c>
      <c r="E2088" t="s">
        <v>1501</v>
      </c>
      <c r="F2088" s="13">
        <v>5</v>
      </c>
      <c r="G2088" s="14">
        <v>7542.39</v>
      </c>
      <c r="H2088" s="13">
        <v>166</v>
      </c>
      <c r="I2088" t="s">
        <v>76</v>
      </c>
    </row>
    <row r="2089" spans="1:9" x14ac:dyDescent="0.3">
      <c r="A2089">
        <v>8291</v>
      </c>
      <c r="B2089" t="s">
        <v>116</v>
      </c>
      <c r="C2089" t="s">
        <v>92</v>
      </c>
      <c r="D2089" t="s">
        <v>64</v>
      </c>
      <c r="E2089" t="s">
        <v>1501</v>
      </c>
      <c r="F2089" s="13">
        <v>2</v>
      </c>
      <c r="G2089" s="14">
        <v>998.43</v>
      </c>
      <c r="H2089" s="13">
        <v>166</v>
      </c>
      <c r="I2089" t="s">
        <v>76</v>
      </c>
    </row>
    <row r="2090" spans="1:9" x14ac:dyDescent="0.3">
      <c r="A2090">
        <v>8402</v>
      </c>
      <c r="B2090" t="s">
        <v>1506</v>
      </c>
      <c r="C2090" t="s">
        <v>137</v>
      </c>
      <c r="D2090" t="s">
        <v>64</v>
      </c>
      <c r="E2090" t="s">
        <v>1501</v>
      </c>
      <c r="F2090" s="13">
        <v>3</v>
      </c>
      <c r="G2090" s="14">
        <v>6566.21</v>
      </c>
      <c r="H2090" s="13">
        <v>166</v>
      </c>
      <c r="I2090" t="s">
        <v>76</v>
      </c>
    </row>
    <row r="2091" spans="1:9" x14ac:dyDescent="0.3">
      <c r="A2091">
        <v>1598</v>
      </c>
      <c r="B2091" t="s">
        <v>259</v>
      </c>
      <c r="C2091" t="s">
        <v>114</v>
      </c>
      <c r="D2091" t="s">
        <v>66</v>
      </c>
      <c r="E2091" t="s">
        <v>1507</v>
      </c>
      <c r="F2091" s="13">
        <v>6</v>
      </c>
      <c r="G2091" s="14">
        <v>11966.18</v>
      </c>
      <c r="H2091" s="13">
        <v>165</v>
      </c>
      <c r="I2091" t="s">
        <v>76</v>
      </c>
    </row>
    <row r="2092" spans="1:9" x14ac:dyDescent="0.3">
      <c r="A2092">
        <v>1963</v>
      </c>
      <c r="B2092" t="s">
        <v>202</v>
      </c>
      <c r="C2092" t="s">
        <v>92</v>
      </c>
      <c r="D2092" t="s">
        <v>64</v>
      </c>
      <c r="E2092" t="s">
        <v>1507</v>
      </c>
      <c r="F2092" s="13">
        <v>3</v>
      </c>
      <c r="G2092" s="14">
        <v>2408.2600000000002</v>
      </c>
      <c r="H2092" s="13">
        <v>165</v>
      </c>
      <c r="I2092" t="s">
        <v>76</v>
      </c>
    </row>
    <row r="2093" spans="1:9" x14ac:dyDescent="0.3">
      <c r="A2093">
        <v>3410</v>
      </c>
      <c r="B2093" t="s">
        <v>120</v>
      </c>
      <c r="C2093" t="s">
        <v>92</v>
      </c>
      <c r="D2093" t="s">
        <v>64</v>
      </c>
      <c r="E2093" t="s">
        <v>1507</v>
      </c>
      <c r="F2093" s="13">
        <v>1</v>
      </c>
      <c r="G2093" s="14">
        <v>6001.52</v>
      </c>
      <c r="H2093" s="13">
        <v>165</v>
      </c>
      <c r="I2093" t="s">
        <v>76</v>
      </c>
    </row>
    <row r="2094" spans="1:9" x14ac:dyDescent="0.3">
      <c r="A2094">
        <v>3780</v>
      </c>
      <c r="B2094" t="s">
        <v>178</v>
      </c>
      <c r="C2094" t="s">
        <v>137</v>
      </c>
      <c r="D2094" t="s">
        <v>64</v>
      </c>
      <c r="E2094" t="s">
        <v>1507</v>
      </c>
      <c r="F2094" s="13">
        <v>3</v>
      </c>
      <c r="G2094" s="14">
        <v>4735.13</v>
      </c>
      <c r="H2094" s="13">
        <v>165</v>
      </c>
      <c r="I2094" t="s">
        <v>76</v>
      </c>
    </row>
    <row r="2095" spans="1:9" x14ac:dyDescent="0.3">
      <c r="A2095">
        <v>3854</v>
      </c>
      <c r="B2095" t="s">
        <v>396</v>
      </c>
      <c r="C2095" t="s">
        <v>90</v>
      </c>
      <c r="D2095" t="s">
        <v>66</v>
      </c>
      <c r="E2095" t="s">
        <v>1507</v>
      </c>
      <c r="F2095" s="13">
        <v>2</v>
      </c>
      <c r="G2095" s="14">
        <v>3653.56</v>
      </c>
      <c r="H2095" s="13">
        <v>165</v>
      </c>
      <c r="I2095" t="s">
        <v>76</v>
      </c>
    </row>
    <row r="2096" spans="1:9" x14ac:dyDescent="0.3">
      <c r="A2096">
        <v>4473</v>
      </c>
      <c r="B2096" t="s">
        <v>460</v>
      </c>
      <c r="C2096" t="s">
        <v>133</v>
      </c>
      <c r="D2096" t="s">
        <v>64</v>
      </c>
      <c r="E2096" t="s">
        <v>1507</v>
      </c>
      <c r="F2096" s="13">
        <v>1</v>
      </c>
      <c r="G2096" s="14">
        <v>806.94</v>
      </c>
      <c r="H2096" s="13">
        <v>165</v>
      </c>
      <c r="I2096" t="s">
        <v>76</v>
      </c>
    </row>
    <row r="2097" spans="1:9" x14ac:dyDescent="0.3">
      <c r="A2097">
        <v>5107</v>
      </c>
      <c r="B2097" t="s">
        <v>1508</v>
      </c>
      <c r="C2097" t="s">
        <v>114</v>
      </c>
      <c r="D2097" t="s">
        <v>66</v>
      </c>
      <c r="E2097" t="s">
        <v>1507</v>
      </c>
      <c r="F2097" s="13">
        <v>2</v>
      </c>
      <c r="G2097" s="14">
        <v>1325.19</v>
      </c>
      <c r="H2097" s="13">
        <v>165</v>
      </c>
      <c r="I2097" t="s">
        <v>76</v>
      </c>
    </row>
    <row r="2098" spans="1:9" x14ac:dyDescent="0.3">
      <c r="A2098">
        <v>5133</v>
      </c>
      <c r="B2098" t="s">
        <v>223</v>
      </c>
      <c r="C2098" t="s">
        <v>137</v>
      </c>
      <c r="D2098" t="s">
        <v>64</v>
      </c>
      <c r="E2098" t="s">
        <v>1507</v>
      </c>
      <c r="F2098" s="13">
        <v>2</v>
      </c>
      <c r="G2098" s="14">
        <v>8447.73</v>
      </c>
      <c r="H2098" s="13">
        <v>165</v>
      </c>
      <c r="I2098" t="s">
        <v>76</v>
      </c>
    </row>
    <row r="2099" spans="1:9" x14ac:dyDescent="0.3">
      <c r="A2099">
        <v>6654</v>
      </c>
      <c r="B2099" t="s">
        <v>1269</v>
      </c>
      <c r="C2099" t="s">
        <v>90</v>
      </c>
      <c r="D2099" t="s">
        <v>66</v>
      </c>
      <c r="E2099" t="s">
        <v>1507</v>
      </c>
      <c r="F2099" s="13">
        <v>4</v>
      </c>
      <c r="G2099" s="14">
        <v>8603.93</v>
      </c>
      <c r="H2099" s="13">
        <v>165</v>
      </c>
      <c r="I2099" t="s">
        <v>76</v>
      </c>
    </row>
    <row r="2100" spans="1:9" x14ac:dyDescent="0.3">
      <c r="A2100">
        <v>7601</v>
      </c>
      <c r="B2100" t="s">
        <v>1509</v>
      </c>
      <c r="C2100" t="s">
        <v>92</v>
      </c>
      <c r="D2100" t="s">
        <v>64</v>
      </c>
      <c r="E2100" t="s">
        <v>1507</v>
      </c>
      <c r="F2100" s="13">
        <v>3</v>
      </c>
      <c r="G2100" s="14">
        <v>1334.84</v>
      </c>
      <c r="H2100" s="13">
        <v>165</v>
      </c>
      <c r="I2100" t="s">
        <v>76</v>
      </c>
    </row>
    <row r="2101" spans="1:9" x14ac:dyDescent="0.3">
      <c r="A2101">
        <v>8131</v>
      </c>
      <c r="B2101" t="s">
        <v>1510</v>
      </c>
      <c r="C2101" t="s">
        <v>123</v>
      </c>
      <c r="D2101" t="s">
        <v>65</v>
      </c>
      <c r="E2101" t="s">
        <v>1507</v>
      </c>
      <c r="F2101" s="13">
        <v>3</v>
      </c>
      <c r="G2101" s="14">
        <v>6724.44</v>
      </c>
      <c r="H2101" s="13">
        <v>165</v>
      </c>
      <c r="I2101" t="s">
        <v>76</v>
      </c>
    </row>
    <row r="2102" spans="1:9" x14ac:dyDescent="0.3">
      <c r="A2102">
        <v>1195</v>
      </c>
      <c r="B2102" t="s">
        <v>636</v>
      </c>
      <c r="C2102" t="s">
        <v>103</v>
      </c>
      <c r="D2102" t="s">
        <v>67</v>
      </c>
      <c r="E2102" t="s">
        <v>1511</v>
      </c>
      <c r="F2102" s="13">
        <v>1</v>
      </c>
      <c r="G2102" s="14">
        <v>214.34</v>
      </c>
      <c r="H2102" s="13">
        <v>164</v>
      </c>
      <c r="I2102" t="s">
        <v>76</v>
      </c>
    </row>
    <row r="2103" spans="1:9" x14ac:dyDescent="0.3">
      <c r="A2103">
        <v>1636</v>
      </c>
      <c r="B2103" t="s">
        <v>201</v>
      </c>
      <c r="C2103" t="s">
        <v>114</v>
      </c>
      <c r="D2103" t="s">
        <v>66</v>
      </c>
      <c r="E2103" t="s">
        <v>1511</v>
      </c>
      <c r="F2103" s="13">
        <v>1</v>
      </c>
      <c r="G2103" s="14">
        <v>283.98</v>
      </c>
      <c r="H2103" s="13">
        <v>164</v>
      </c>
      <c r="I2103" t="s">
        <v>76</v>
      </c>
    </row>
    <row r="2104" spans="1:9" x14ac:dyDescent="0.3">
      <c r="A2104">
        <v>2202</v>
      </c>
      <c r="B2104" t="s">
        <v>1512</v>
      </c>
      <c r="C2104" t="s">
        <v>133</v>
      </c>
      <c r="D2104" t="s">
        <v>64</v>
      </c>
      <c r="E2104" t="s">
        <v>1511</v>
      </c>
      <c r="F2104" s="13">
        <v>1</v>
      </c>
      <c r="G2104" s="14">
        <v>410.11</v>
      </c>
      <c r="H2104" s="13">
        <v>164</v>
      </c>
      <c r="I2104" t="s">
        <v>76</v>
      </c>
    </row>
    <row r="2105" spans="1:9" x14ac:dyDescent="0.3">
      <c r="A2105">
        <v>3487</v>
      </c>
      <c r="B2105" t="s">
        <v>1513</v>
      </c>
      <c r="C2105" t="s">
        <v>123</v>
      </c>
      <c r="D2105" t="s">
        <v>65</v>
      </c>
      <c r="E2105" t="s">
        <v>1511</v>
      </c>
      <c r="F2105" s="13">
        <v>2</v>
      </c>
      <c r="G2105" s="14">
        <v>2724.31</v>
      </c>
      <c r="H2105" s="13">
        <v>164</v>
      </c>
      <c r="I2105" t="s">
        <v>76</v>
      </c>
    </row>
    <row r="2106" spans="1:9" x14ac:dyDescent="0.3">
      <c r="A2106">
        <v>5527</v>
      </c>
      <c r="B2106" t="s">
        <v>1514</v>
      </c>
      <c r="C2106" t="s">
        <v>92</v>
      </c>
      <c r="D2106" t="s">
        <v>64</v>
      </c>
      <c r="E2106" t="s">
        <v>1511</v>
      </c>
      <c r="F2106" s="13">
        <v>2</v>
      </c>
      <c r="G2106" s="14">
        <v>2232.37</v>
      </c>
      <c r="H2106" s="13">
        <v>164</v>
      </c>
      <c r="I2106" t="s">
        <v>76</v>
      </c>
    </row>
    <row r="2107" spans="1:9" x14ac:dyDescent="0.3">
      <c r="A2107">
        <v>6557</v>
      </c>
      <c r="B2107" t="s">
        <v>1515</v>
      </c>
      <c r="C2107" t="s">
        <v>92</v>
      </c>
      <c r="D2107" t="s">
        <v>64</v>
      </c>
      <c r="E2107" t="s">
        <v>1511</v>
      </c>
      <c r="F2107" s="13">
        <v>12</v>
      </c>
      <c r="G2107" s="14">
        <v>15135.58</v>
      </c>
      <c r="H2107" s="13">
        <v>164</v>
      </c>
      <c r="I2107" t="s">
        <v>76</v>
      </c>
    </row>
    <row r="2108" spans="1:9" x14ac:dyDescent="0.3">
      <c r="A2108">
        <v>6569</v>
      </c>
      <c r="B2108" t="s">
        <v>1516</v>
      </c>
      <c r="C2108" t="s">
        <v>92</v>
      </c>
      <c r="D2108" t="s">
        <v>64</v>
      </c>
      <c r="E2108" t="s">
        <v>1511</v>
      </c>
      <c r="F2108" s="13">
        <v>1</v>
      </c>
      <c r="G2108" s="14">
        <v>258.19</v>
      </c>
      <c r="H2108" s="13">
        <v>164</v>
      </c>
      <c r="I2108" t="s">
        <v>76</v>
      </c>
    </row>
    <row r="2109" spans="1:9" x14ac:dyDescent="0.3">
      <c r="A2109">
        <v>6993</v>
      </c>
      <c r="B2109" t="s">
        <v>295</v>
      </c>
      <c r="C2109" t="s">
        <v>92</v>
      </c>
      <c r="D2109" t="s">
        <v>64</v>
      </c>
      <c r="E2109" t="s">
        <v>1511</v>
      </c>
      <c r="F2109" s="13">
        <v>3</v>
      </c>
      <c r="G2109" s="14">
        <v>10546.04</v>
      </c>
      <c r="H2109" s="13">
        <v>164</v>
      </c>
      <c r="I2109" t="s">
        <v>76</v>
      </c>
    </row>
    <row r="2110" spans="1:9" x14ac:dyDescent="0.3">
      <c r="A2110">
        <v>7303</v>
      </c>
      <c r="B2110" t="s">
        <v>1517</v>
      </c>
      <c r="C2110" t="s">
        <v>133</v>
      </c>
      <c r="D2110" t="s">
        <v>64</v>
      </c>
      <c r="E2110" t="s">
        <v>1511</v>
      </c>
      <c r="F2110" s="13">
        <v>2</v>
      </c>
      <c r="G2110" s="14">
        <v>4390.43</v>
      </c>
      <c r="H2110" s="13">
        <v>164</v>
      </c>
      <c r="I2110" t="s">
        <v>76</v>
      </c>
    </row>
    <row r="2111" spans="1:9" x14ac:dyDescent="0.3">
      <c r="A2111">
        <v>7563</v>
      </c>
      <c r="B2111" t="s">
        <v>519</v>
      </c>
      <c r="C2111" t="s">
        <v>90</v>
      </c>
      <c r="D2111" t="s">
        <v>66</v>
      </c>
      <c r="E2111" t="s">
        <v>1511</v>
      </c>
      <c r="F2111" s="13">
        <v>2</v>
      </c>
      <c r="G2111" s="14">
        <v>4685.58</v>
      </c>
      <c r="H2111" s="13">
        <v>164</v>
      </c>
      <c r="I2111" t="s">
        <v>76</v>
      </c>
    </row>
    <row r="2112" spans="1:9" x14ac:dyDescent="0.3">
      <c r="A2112">
        <v>8067</v>
      </c>
      <c r="B2112" t="s">
        <v>404</v>
      </c>
      <c r="C2112" t="s">
        <v>97</v>
      </c>
      <c r="D2112" t="s">
        <v>65</v>
      </c>
      <c r="E2112" t="s">
        <v>1511</v>
      </c>
      <c r="F2112" s="13">
        <v>3</v>
      </c>
      <c r="G2112" s="14">
        <v>5083.29</v>
      </c>
      <c r="H2112" s="13">
        <v>164</v>
      </c>
      <c r="I2112" t="s">
        <v>76</v>
      </c>
    </row>
    <row r="2113" spans="1:9" x14ac:dyDescent="0.3">
      <c r="A2113">
        <v>8196</v>
      </c>
      <c r="B2113" t="s">
        <v>1518</v>
      </c>
      <c r="C2113" t="s">
        <v>123</v>
      </c>
      <c r="D2113" t="s">
        <v>65</v>
      </c>
      <c r="E2113" t="s">
        <v>1511</v>
      </c>
      <c r="F2113" s="13">
        <v>1</v>
      </c>
      <c r="G2113" s="14">
        <v>867.04</v>
      </c>
      <c r="H2113" s="13">
        <v>164</v>
      </c>
      <c r="I2113" t="s">
        <v>76</v>
      </c>
    </row>
    <row r="2114" spans="1:9" x14ac:dyDescent="0.3">
      <c r="A2114">
        <v>8684</v>
      </c>
      <c r="B2114" t="s">
        <v>116</v>
      </c>
      <c r="C2114" t="s">
        <v>133</v>
      </c>
      <c r="D2114" t="s">
        <v>64</v>
      </c>
      <c r="E2114" t="s">
        <v>1511</v>
      </c>
      <c r="F2114" s="13">
        <v>4</v>
      </c>
      <c r="G2114" s="14">
        <v>4185.6099999999997</v>
      </c>
      <c r="H2114" s="13">
        <v>164</v>
      </c>
      <c r="I2114" t="s">
        <v>76</v>
      </c>
    </row>
    <row r="2115" spans="1:9" x14ac:dyDescent="0.3">
      <c r="A2115">
        <v>8867</v>
      </c>
      <c r="B2115" t="s">
        <v>1519</v>
      </c>
      <c r="C2115" t="s">
        <v>103</v>
      </c>
      <c r="D2115" t="s">
        <v>67</v>
      </c>
      <c r="E2115" t="s">
        <v>1511</v>
      </c>
      <c r="F2115" s="13">
        <v>2</v>
      </c>
      <c r="G2115" s="14">
        <v>7201.25</v>
      </c>
      <c r="H2115" s="13">
        <v>164</v>
      </c>
      <c r="I2115" t="s">
        <v>76</v>
      </c>
    </row>
    <row r="2116" spans="1:9" x14ac:dyDescent="0.3">
      <c r="A2116">
        <v>269</v>
      </c>
      <c r="B2116" t="s">
        <v>1210</v>
      </c>
      <c r="C2116" t="s">
        <v>123</v>
      </c>
      <c r="D2116" t="s">
        <v>65</v>
      </c>
      <c r="E2116" t="s">
        <v>1520</v>
      </c>
      <c r="F2116" s="13">
        <v>2</v>
      </c>
      <c r="G2116" s="14">
        <v>3681.22</v>
      </c>
      <c r="H2116" s="13">
        <v>163</v>
      </c>
      <c r="I2116" t="s">
        <v>76</v>
      </c>
    </row>
    <row r="2117" spans="1:9" x14ac:dyDescent="0.3">
      <c r="A2117">
        <v>290</v>
      </c>
      <c r="B2117" t="s">
        <v>259</v>
      </c>
      <c r="C2117" t="s">
        <v>137</v>
      </c>
      <c r="D2117" t="s">
        <v>64</v>
      </c>
      <c r="E2117" t="s">
        <v>1520</v>
      </c>
      <c r="F2117" s="13">
        <v>4</v>
      </c>
      <c r="G2117" s="14">
        <v>7271.39</v>
      </c>
      <c r="H2117" s="13">
        <v>163</v>
      </c>
      <c r="I2117" t="s">
        <v>76</v>
      </c>
    </row>
    <row r="2118" spans="1:9" x14ac:dyDescent="0.3">
      <c r="A2118">
        <v>314</v>
      </c>
      <c r="B2118" t="s">
        <v>1325</v>
      </c>
      <c r="C2118" t="s">
        <v>92</v>
      </c>
      <c r="D2118" t="s">
        <v>64</v>
      </c>
      <c r="E2118" t="s">
        <v>1520</v>
      </c>
      <c r="F2118" s="13">
        <v>2</v>
      </c>
      <c r="G2118" s="14">
        <v>1839.34</v>
      </c>
      <c r="H2118" s="13">
        <v>163</v>
      </c>
      <c r="I2118" t="s">
        <v>76</v>
      </c>
    </row>
    <row r="2119" spans="1:9" x14ac:dyDescent="0.3">
      <c r="A2119">
        <v>400</v>
      </c>
      <c r="B2119" t="s">
        <v>274</v>
      </c>
      <c r="C2119" t="s">
        <v>133</v>
      </c>
      <c r="D2119" t="s">
        <v>64</v>
      </c>
      <c r="E2119" t="s">
        <v>1520</v>
      </c>
      <c r="F2119" s="13">
        <v>2</v>
      </c>
      <c r="G2119" s="14">
        <v>4339.24</v>
      </c>
      <c r="H2119" s="13">
        <v>163</v>
      </c>
      <c r="I2119" t="s">
        <v>76</v>
      </c>
    </row>
    <row r="2120" spans="1:9" x14ac:dyDescent="0.3">
      <c r="A2120">
        <v>430</v>
      </c>
      <c r="B2120" t="s">
        <v>1521</v>
      </c>
      <c r="C2120" t="s">
        <v>114</v>
      </c>
      <c r="D2120" t="s">
        <v>66</v>
      </c>
      <c r="E2120" t="s">
        <v>1520</v>
      </c>
      <c r="F2120" s="13">
        <v>1</v>
      </c>
      <c r="G2120" s="14">
        <v>976.93</v>
      </c>
      <c r="H2120" s="13">
        <v>163</v>
      </c>
      <c r="I2120" t="s">
        <v>76</v>
      </c>
    </row>
    <row r="2121" spans="1:9" x14ac:dyDescent="0.3">
      <c r="A2121">
        <v>1216</v>
      </c>
      <c r="B2121" t="s">
        <v>201</v>
      </c>
      <c r="C2121" t="s">
        <v>90</v>
      </c>
      <c r="D2121" t="s">
        <v>66</v>
      </c>
      <c r="E2121" t="s">
        <v>1520</v>
      </c>
      <c r="F2121" s="13">
        <v>2</v>
      </c>
      <c r="G2121" s="14">
        <v>4479.6899999999996</v>
      </c>
      <c r="H2121" s="13">
        <v>163</v>
      </c>
      <c r="I2121" t="s">
        <v>76</v>
      </c>
    </row>
    <row r="2122" spans="1:9" x14ac:dyDescent="0.3">
      <c r="A2122">
        <v>3383</v>
      </c>
      <c r="B2122" t="s">
        <v>760</v>
      </c>
      <c r="C2122" t="s">
        <v>95</v>
      </c>
      <c r="D2122" t="s">
        <v>65</v>
      </c>
      <c r="E2122" t="s">
        <v>1520</v>
      </c>
      <c r="F2122" s="13">
        <v>1</v>
      </c>
      <c r="G2122" s="14">
        <v>2725.13</v>
      </c>
      <c r="H2122" s="13">
        <v>163</v>
      </c>
      <c r="I2122" t="s">
        <v>76</v>
      </c>
    </row>
    <row r="2123" spans="1:9" x14ac:dyDescent="0.3">
      <c r="A2123">
        <v>3419</v>
      </c>
      <c r="B2123" t="s">
        <v>449</v>
      </c>
      <c r="C2123" t="s">
        <v>92</v>
      </c>
      <c r="D2123" t="s">
        <v>64</v>
      </c>
      <c r="E2123" t="s">
        <v>1520</v>
      </c>
      <c r="F2123" s="13">
        <v>1</v>
      </c>
      <c r="G2123" s="14">
        <v>565.11</v>
      </c>
      <c r="H2123" s="13">
        <v>163</v>
      </c>
      <c r="I2123" t="s">
        <v>76</v>
      </c>
    </row>
    <row r="2124" spans="1:9" x14ac:dyDescent="0.3">
      <c r="A2124">
        <v>4469</v>
      </c>
      <c r="B2124" t="s">
        <v>1522</v>
      </c>
      <c r="C2124" t="s">
        <v>100</v>
      </c>
      <c r="D2124" t="s">
        <v>66</v>
      </c>
      <c r="E2124" t="s">
        <v>1520</v>
      </c>
      <c r="F2124" s="13">
        <v>1</v>
      </c>
      <c r="G2124" s="14">
        <v>92.46</v>
      </c>
      <c r="H2124" s="13">
        <v>163</v>
      </c>
      <c r="I2124" t="s">
        <v>76</v>
      </c>
    </row>
    <row r="2125" spans="1:9" x14ac:dyDescent="0.3">
      <c r="A2125">
        <v>5295</v>
      </c>
      <c r="B2125" t="s">
        <v>1523</v>
      </c>
      <c r="C2125" t="s">
        <v>97</v>
      </c>
      <c r="D2125" t="s">
        <v>65</v>
      </c>
      <c r="E2125" t="s">
        <v>1520</v>
      </c>
      <c r="F2125" s="13">
        <v>4</v>
      </c>
      <c r="G2125" s="14">
        <v>10159.76</v>
      </c>
      <c r="H2125" s="13">
        <v>163</v>
      </c>
      <c r="I2125" t="s">
        <v>76</v>
      </c>
    </row>
    <row r="2126" spans="1:9" x14ac:dyDescent="0.3">
      <c r="A2126">
        <v>6904</v>
      </c>
      <c r="B2126" t="s">
        <v>1094</v>
      </c>
      <c r="C2126" t="s">
        <v>90</v>
      </c>
      <c r="D2126" t="s">
        <v>66</v>
      </c>
      <c r="E2126" t="s">
        <v>1520</v>
      </c>
      <c r="F2126" s="13">
        <v>5</v>
      </c>
      <c r="G2126" s="14">
        <v>4665</v>
      </c>
      <c r="H2126" s="13">
        <v>163</v>
      </c>
      <c r="I2126" t="s">
        <v>76</v>
      </c>
    </row>
    <row r="2127" spans="1:9" x14ac:dyDescent="0.3">
      <c r="A2127">
        <v>7814</v>
      </c>
      <c r="B2127" t="s">
        <v>321</v>
      </c>
      <c r="C2127" t="s">
        <v>137</v>
      </c>
      <c r="D2127" t="s">
        <v>64</v>
      </c>
      <c r="E2127" t="s">
        <v>1520</v>
      </c>
      <c r="F2127" s="13">
        <v>3</v>
      </c>
      <c r="G2127" s="14">
        <v>9460.2199999999993</v>
      </c>
      <c r="H2127" s="13">
        <v>163</v>
      </c>
      <c r="I2127" t="s">
        <v>76</v>
      </c>
    </row>
    <row r="2128" spans="1:9" x14ac:dyDescent="0.3">
      <c r="A2128">
        <v>8471</v>
      </c>
      <c r="B2128" t="s">
        <v>182</v>
      </c>
      <c r="C2128" t="s">
        <v>97</v>
      </c>
      <c r="D2128" t="s">
        <v>65</v>
      </c>
      <c r="E2128" t="s">
        <v>1520</v>
      </c>
      <c r="F2128" s="13">
        <v>1</v>
      </c>
      <c r="G2128" s="14">
        <v>3046.95</v>
      </c>
      <c r="H2128" s="13">
        <v>163</v>
      </c>
      <c r="I2128" t="s">
        <v>76</v>
      </c>
    </row>
    <row r="2129" spans="1:9" x14ac:dyDescent="0.3">
      <c r="A2129">
        <v>8619</v>
      </c>
      <c r="B2129" t="s">
        <v>323</v>
      </c>
      <c r="C2129" t="s">
        <v>103</v>
      </c>
      <c r="D2129" t="s">
        <v>67</v>
      </c>
      <c r="E2129" t="s">
        <v>1520</v>
      </c>
      <c r="F2129" s="13">
        <v>2</v>
      </c>
      <c r="G2129" s="14">
        <v>2671.82</v>
      </c>
      <c r="H2129" s="13">
        <v>163</v>
      </c>
      <c r="I2129" t="s">
        <v>76</v>
      </c>
    </row>
    <row r="2130" spans="1:9" x14ac:dyDescent="0.3">
      <c r="A2130">
        <v>8989</v>
      </c>
      <c r="B2130" t="s">
        <v>1015</v>
      </c>
      <c r="C2130" t="s">
        <v>156</v>
      </c>
      <c r="D2130" t="s">
        <v>68</v>
      </c>
      <c r="E2130" t="s">
        <v>1520</v>
      </c>
      <c r="F2130" s="13">
        <v>1</v>
      </c>
      <c r="G2130" s="14">
        <v>278.57</v>
      </c>
      <c r="H2130" s="13">
        <v>163</v>
      </c>
      <c r="I2130" t="s">
        <v>76</v>
      </c>
    </row>
    <row r="2131" spans="1:9" x14ac:dyDescent="0.3">
      <c r="A2131">
        <v>297</v>
      </c>
      <c r="B2131" t="s">
        <v>1524</v>
      </c>
      <c r="C2131" t="s">
        <v>92</v>
      </c>
      <c r="D2131" t="s">
        <v>64</v>
      </c>
      <c r="E2131" t="s">
        <v>1525</v>
      </c>
      <c r="F2131" s="13">
        <v>2</v>
      </c>
      <c r="G2131" s="14">
        <v>7439.42</v>
      </c>
      <c r="H2131" s="13">
        <v>162</v>
      </c>
      <c r="I2131" t="s">
        <v>76</v>
      </c>
    </row>
    <row r="2132" spans="1:9" x14ac:dyDescent="0.3">
      <c r="A2132">
        <v>352</v>
      </c>
      <c r="B2132" t="s">
        <v>353</v>
      </c>
      <c r="C2132" t="s">
        <v>137</v>
      </c>
      <c r="D2132" t="s">
        <v>64</v>
      </c>
      <c r="E2132" t="s">
        <v>1525</v>
      </c>
      <c r="F2132" s="13">
        <v>2</v>
      </c>
      <c r="G2132" s="14">
        <v>6388.59</v>
      </c>
      <c r="H2132" s="13">
        <v>162</v>
      </c>
      <c r="I2132" t="s">
        <v>76</v>
      </c>
    </row>
    <row r="2133" spans="1:9" x14ac:dyDescent="0.3">
      <c r="A2133">
        <v>459</v>
      </c>
      <c r="B2133" t="s">
        <v>202</v>
      </c>
      <c r="C2133" t="s">
        <v>90</v>
      </c>
      <c r="D2133" t="s">
        <v>66</v>
      </c>
      <c r="E2133" t="s">
        <v>1525</v>
      </c>
      <c r="F2133" s="13">
        <v>4</v>
      </c>
      <c r="G2133" s="14">
        <v>3198.11</v>
      </c>
      <c r="H2133" s="13">
        <v>162</v>
      </c>
      <c r="I2133" t="s">
        <v>76</v>
      </c>
    </row>
    <row r="2134" spans="1:9" x14ac:dyDescent="0.3">
      <c r="A2134">
        <v>1474</v>
      </c>
      <c r="B2134" t="s">
        <v>1526</v>
      </c>
      <c r="C2134" t="s">
        <v>133</v>
      </c>
      <c r="D2134" t="s">
        <v>64</v>
      </c>
      <c r="E2134" t="s">
        <v>1525</v>
      </c>
      <c r="F2134" s="13">
        <v>3</v>
      </c>
      <c r="G2134" s="14">
        <v>8219.08</v>
      </c>
      <c r="H2134" s="13">
        <v>162</v>
      </c>
      <c r="I2134" t="s">
        <v>76</v>
      </c>
    </row>
    <row r="2135" spans="1:9" x14ac:dyDescent="0.3">
      <c r="A2135">
        <v>2201</v>
      </c>
      <c r="B2135" t="s">
        <v>1527</v>
      </c>
      <c r="C2135" t="s">
        <v>100</v>
      </c>
      <c r="D2135" t="s">
        <v>66</v>
      </c>
      <c r="E2135" t="s">
        <v>1525</v>
      </c>
      <c r="F2135" s="13">
        <v>2</v>
      </c>
      <c r="G2135" s="14">
        <v>623.54999999999995</v>
      </c>
      <c r="H2135" s="13">
        <v>162</v>
      </c>
      <c r="I2135" t="s">
        <v>76</v>
      </c>
    </row>
    <row r="2136" spans="1:9" x14ac:dyDescent="0.3">
      <c r="A2136">
        <v>4426</v>
      </c>
      <c r="B2136" t="s">
        <v>1528</v>
      </c>
      <c r="C2136" t="s">
        <v>137</v>
      </c>
      <c r="D2136" t="s">
        <v>64</v>
      </c>
      <c r="E2136" t="s">
        <v>1525</v>
      </c>
      <c r="F2136" s="13">
        <v>2</v>
      </c>
      <c r="G2136" s="14">
        <v>5829.53</v>
      </c>
      <c r="H2136" s="13">
        <v>162</v>
      </c>
      <c r="I2136" t="s">
        <v>76</v>
      </c>
    </row>
    <row r="2137" spans="1:9" x14ac:dyDescent="0.3">
      <c r="A2137">
        <v>4554</v>
      </c>
      <c r="B2137" t="s">
        <v>1529</v>
      </c>
      <c r="C2137" t="s">
        <v>133</v>
      </c>
      <c r="D2137" t="s">
        <v>64</v>
      </c>
      <c r="E2137" t="s">
        <v>1525</v>
      </c>
      <c r="F2137" s="13">
        <v>5</v>
      </c>
      <c r="G2137" s="14">
        <v>14553.86</v>
      </c>
      <c r="H2137" s="13">
        <v>162</v>
      </c>
      <c r="I2137" t="s">
        <v>76</v>
      </c>
    </row>
    <row r="2138" spans="1:9" x14ac:dyDescent="0.3">
      <c r="A2138">
        <v>4591</v>
      </c>
      <c r="B2138" t="s">
        <v>689</v>
      </c>
      <c r="C2138" t="s">
        <v>92</v>
      </c>
      <c r="D2138" t="s">
        <v>64</v>
      </c>
      <c r="E2138" t="s">
        <v>1525</v>
      </c>
      <c r="F2138" s="13">
        <v>2</v>
      </c>
      <c r="G2138" s="14">
        <v>4128.0200000000004</v>
      </c>
      <c r="H2138" s="13">
        <v>162</v>
      </c>
      <c r="I2138" t="s">
        <v>76</v>
      </c>
    </row>
    <row r="2139" spans="1:9" x14ac:dyDescent="0.3">
      <c r="A2139">
        <v>5902</v>
      </c>
      <c r="B2139" t="s">
        <v>979</v>
      </c>
      <c r="C2139" t="s">
        <v>123</v>
      </c>
      <c r="D2139" t="s">
        <v>65</v>
      </c>
      <c r="E2139" t="s">
        <v>1525</v>
      </c>
      <c r="F2139" s="13">
        <v>2</v>
      </c>
      <c r="G2139" s="14">
        <v>3006.58</v>
      </c>
      <c r="H2139" s="13">
        <v>162</v>
      </c>
      <c r="I2139" t="s">
        <v>76</v>
      </c>
    </row>
    <row r="2140" spans="1:9" x14ac:dyDescent="0.3">
      <c r="A2140">
        <v>5960</v>
      </c>
      <c r="B2140" t="s">
        <v>325</v>
      </c>
      <c r="C2140" t="s">
        <v>133</v>
      </c>
      <c r="D2140" t="s">
        <v>64</v>
      </c>
      <c r="E2140" t="s">
        <v>1525</v>
      </c>
      <c r="F2140" s="13">
        <v>1</v>
      </c>
      <c r="G2140" s="14">
        <v>3325.35</v>
      </c>
      <c r="H2140" s="13">
        <v>162</v>
      </c>
      <c r="I2140" t="s">
        <v>76</v>
      </c>
    </row>
    <row r="2141" spans="1:9" x14ac:dyDescent="0.3">
      <c r="A2141">
        <v>6589</v>
      </c>
      <c r="B2141" t="s">
        <v>1530</v>
      </c>
      <c r="C2141" t="s">
        <v>137</v>
      </c>
      <c r="D2141" t="s">
        <v>64</v>
      </c>
      <c r="E2141" t="s">
        <v>1525</v>
      </c>
      <c r="F2141" s="13">
        <v>3</v>
      </c>
      <c r="G2141" s="14">
        <v>2216.7800000000002</v>
      </c>
      <c r="H2141" s="13">
        <v>162</v>
      </c>
      <c r="I2141" t="s">
        <v>76</v>
      </c>
    </row>
    <row r="2142" spans="1:9" x14ac:dyDescent="0.3">
      <c r="A2142">
        <v>6592</v>
      </c>
      <c r="B2142" t="s">
        <v>588</v>
      </c>
      <c r="C2142" t="s">
        <v>92</v>
      </c>
      <c r="D2142" t="s">
        <v>64</v>
      </c>
      <c r="E2142" t="s">
        <v>1525</v>
      </c>
      <c r="F2142" s="13">
        <v>1</v>
      </c>
      <c r="G2142" s="14">
        <v>4036.77</v>
      </c>
      <c r="H2142" s="13">
        <v>162</v>
      </c>
      <c r="I2142" t="s">
        <v>76</v>
      </c>
    </row>
    <row r="2143" spans="1:9" x14ac:dyDescent="0.3">
      <c r="A2143">
        <v>6970</v>
      </c>
      <c r="B2143" t="s">
        <v>1523</v>
      </c>
      <c r="C2143" t="s">
        <v>249</v>
      </c>
      <c r="D2143" t="s">
        <v>67</v>
      </c>
      <c r="E2143" t="s">
        <v>1525</v>
      </c>
      <c r="F2143" s="13">
        <v>2</v>
      </c>
      <c r="G2143" s="14">
        <v>5121.1000000000004</v>
      </c>
      <c r="H2143" s="13">
        <v>162</v>
      </c>
      <c r="I2143" t="s">
        <v>76</v>
      </c>
    </row>
    <row r="2144" spans="1:9" x14ac:dyDescent="0.3">
      <c r="A2144">
        <v>8408</v>
      </c>
      <c r="B2144" t="s">
        <v>514</v>
      </c>
      <c r="C2144" t="s">
        <v>249</v>
      </c>
      <c r="D2144" t="s">
        <v>67</v>
      </c>
      <c r="E2144" t="s">
        <v>1525</v>
      </c>
      <c r="F2144" s="13">
        <v>1</v>
      </c>
      <c r="G2144" s="14">
        <v>491.06</v>
      </c>
      <c r="H2144" s="13">
        <v>162</v>
      </c>
      <c r="I2144" t="s">
        <v>76</v>
      </c>
    </row>
    <row r="2145" spans="1:9" x14ac:dyDescent="0.3">
      <c r="A2145">
        <v>8509</v>
      </c>
      <c r="B2145" t="s">
        <v>1531</v>
      </c>
      <c r="C2145" t="s">
        <v>137</v>
      </c>
      <c r="D2145" t="s">
        <v>64</v>
      </c>
      <c r="E2145" t="s">
        <v>1525</v>
      </c>
      <c r="F2145" s="13">
        <v>2</v>
      </c>
      <c r="G2145" s="14">
        <v>7674.32</v>
      </c>
      <c r="H2145" s="13">
        <v>162</v>
      </c>
      <c r="I2145" t="s">
        <v>76</v>
      </c>
    </row>
    <row r="2146" spans="1:9" x14ac:dyDescent="0.3">
      <c r="A2146">
        <v>424</v>
      </c>
      <c r="B2146" t="s">
        <v>1532</v>
      </c>
      <c r="C2146" t="s">
        <v>121</v>
      </c>
      <c r="D2146" t="s">
        <v>67</v>
      </c>
      <c r="E2146" t="s">
        <v>1533</v>
      </c>
      <c r="F2146" s="13">
        <v>8</v>
      </c>
      <c r="G2146" s="14">
        <v>22064.87</v>
      </c>
      <c r="H2146" s="13">
        <v>161</v>
      </c>
      <c r="I2146" t="s">
        <v>76</v>
      </c>
    </row>
    <row r="2147" spans="1:9" x14ac:dyDescent="0.3">
      <c r="A2147">
        <v>1150</v>
      </c>
      <c r="B2147" t="s">
        <v>1534</v>
      </c>
      <c r="C2147" t="s">
        <v>92</v>
      </c>
      <c r="D2147" t="s">
        <v>64</v>
      </c>
      <c r="E2147" t="s">
        <v>1533</v>
      </c>
      <c r="F2147" s="13">
        <v>2</v>
      </c>
      <c r="G2147" s="14">
        <v>1981.53</v>
      </c>
      <c r="H2147" s="13">
        <v>161</v>
      </c>
      <c r="I2147" t="s">
        <v>76</v>
      </c>
    </row>
    <row r="2148" spans="1:9" x14ac:dyDescent="0.3">
      <c r="A2148">
        <v>2561</v>
      </c>
      <c r="B2148" t="s">
        <v>1535</v>
      </c>
      <c r="C2148" t="s">
        <v>133</v>
      </c>
      <c r="D2148" t="s">
        <v>64</v>
      </c>
      <c r="E2148" t="s">
        <v>1533</v>
      </c>
      <c r="F2148" s="13">
        <v>1</v>
      </c>
      <c r="G2148" s="14">
        <v>1099.31</v>
      </c>
      <c r="H2148" s="13">
        <v>161</v>
      </c>
      <c r="I2148" t="s">
        <v>76</v>
      </c>
    </row>
    <row r="2149" spans="1:9" x14ac:dyDescent="0.3">
      <c r="A2149">
        <v>2897</v>
      </c>
      <c r="B2149" t="s">
        <v>1215</v>
      </c>
      <c r="C2149" t="s">
        <v>97</v>
      </c>
      <c r="D2149" t="s">
        <v>65</v>
      </c>
      <c r="E2149" t="s">
        <v>1533</v>
      </c>
      <c r="F2149" s="13">
        <v>3</v>
      </c>
      <c r="G2149" s="14">
        <v>4234.93</v>
      </c>
      <c r="H2149" s="13">
        <v>161</v>
      </c>
      <c r="I2149" t="s">
        <v>76</v>
      </c>
    </row>
    <row r="2150" spans="1:9" x14ac:dyDescent="0.3">
      <c r="A2150">
        <v>3942</v>
      </c>
      <c r="B2150" t="s">
        <v>1536</v>
      </c>
      <c r="C2150" t="s">
        <v>123</v>
      </c>
      <c r="D2150" t="s">
        <v>65</v>
      </c>
      <c r="E2150" t="s">
        <v>1533</v>
      </c>
      <c r="F2150" s="13">
        <v>2</v>
      </c>
      <c r="G2150" s="14">
        <v>4188.2299999999996</v>
      </c>
      <c r="H2150" s="13">
        <v>161</v>
      </c>
      <c r="I2150" t="s">
        <v>76</v>
      </c>
    </row>
    <row r="2151" spans="1:9" x14ac:dyDescent="0.3">
      <c r="A2151">
        <v>4763</v>
      </c>
      <c r="B2151" t="s">
        <v>120</v>
      </c>
      <c r="C2151" t="s">
        <v>103</v>
      </c>
      <c r="D2151" t="s">
        <v>67</v>
      </c>
      <c r="E2151" t="s">
        <v>1533</v>
      </c>
      <c r="F2151" s="13">
        <v>1</v>
      </c>
      <c r="G2151" s="14">
        <v>488.07</v>
      </c>
      <c r="H2151" s="13">
        <v>161</v>
      </c>
      <c r="I2151" t="s">
        <v>76</v>
      </c>
    </row>
    <row r="2152" spans="1:9" x14ac:dyDescent="0.3">
      <c r="A2152">
        <v>7045</v>
      </c>
      <c r="B2152" t="s">
        <v>1537</v>
      </c>
      <c r="C2152" t="s">
        <v>114</v>
      </c>
      <c r="D2152" t="s">
        <v>66</v>
      </c>
      <c r="E2152" t="s">
        <v>1533</v>
      </c>
      <c r="F2152" s="13">
        <v>4</v>
      </c>
      <c r="G2152" s="14">
        <v>6579.32</v>
      </c>
      <c r="H2152" s="13">
        <v>161</v>
      </c>
      <c r="I2152" t="s">
        <v>76</v>
      </c>
    </row>
    <row r="2153" spans="1:9" x14ac:dyDescent="0.3">
      <c r="A2153">
        <v>7803</v>
      </c>
      <c r="B2153" t="s">
        <v>1538</v>
      </c>
      <c r="C2153" t="s">
        <v>249</v>
      </c>
      <c r="D2153" t="s">
        <v>67</v>
      </c>
      <c r="E2153" t="s">
        <v>1533</v>
      </c>
      <c r="F2153" s="13">
        <v>1</v>
      </c>
      <c r="G2153" s="14">
        <v>130</v>
      </c>
      <c r="H2153" s="13">
        <v>161</v>
      </c>
      <c r="I2153" t="s">
        <v>76</v>
      </c>
    </row>
    <row r="2154" spans="1:9" x14ac:dyDescent="0.3">
      <c r="A2154">
        <v>8204</v>
      </c>
      <c r="B2154" t="s">
        <v>1316</v>
      </c>
      <c r="C2154" t="s">
        <v>97</v>
      </c>
      <c r="D2154" t="s">
        <v>65</v>
      </c>
      <c r="E2154" t="s">
        <v>1533</v>
      </c>
      <c r="F2154" s="13">
        <v>2</v>
      </c>
      <c r="G2154" s="14">
        <v>7200.41</v>
      </c>
      <c r="H2154" s="13">
        <v>161</v>
      </c>
      <c r="I2154" t="s">
        <v>76</v>
      </c>
    </row>
    <row r="2155" spans="1:9" x14ac:dyDescent="0.3">
      <c r="A2155">
        <v>8625</v>
      </c>
      <c r="B2155" t="s">
        <v>632</v>
      </c>
      <c r="C2155" t="s">
        <v>92</v>
      </c>
      <c r="D2155" t="s">
        <v>64</v>
      </c>
      <c r="E2155" t="s">
        <v>1533</v>
      </c>
      <c r="F2155" s="13">
        <v>4</v>
      </c>
      <c r="G2155" s="14">
        <v>6418.57</v>
      </c>
      <c r="H2155" s="13">
        <v>161</v>
      </c>
      <c r="I2155" t="s">
        <v>76</v>
      </c>
    </row>
    <row r="2156" spans="1:9" x14ac:dyDescent="0.3">
      <c r="A2156">
        <v>391</v>
      </c>
      <c r="B2156" t="s">
        <v>94</v>
      </c>
      <c r="C2156" t="s">
        <v>92</v>
      </c>
      <c r="D2156" t="s">
        <v>64</v>
      </c>
      <c r="E2156" t="s">
        <v>1539</v>
      </c>
      <c r="F2156" s="13">
        <v>1</v>
      </c>
      <c r="G2156" s="14">
        <v>707.87</v>
      </c>
      <c r="H2156" s="13">
        <v>160</v>
      </c>
      <c r="I2156" t="s">
        <v>76</v>
      </c>
    </row>
    <row r="2157" spans="1:9" x14ac:dyDescent="0.3">
      <c r="A2157">
        <v>589</v>
      </c>
      <c r="B2157" t="s">
        <v>448</v>
      </c>
      <c r="C2157" t="s">
        <v>92</v>
      </c>
      <c r="D2157" t="s">
        <v>64</v>
      </c>
      <c r="E2157" t="s">
        <v>1539</v>
      </c>
      <c r="F2157" s="13">
        <v>1</v>
      </c>
      <c r="G2157" s="14">
        <v>1566.46</v>
      </c>
      <c r="H2157" s="13">
        <v>160</v>
      </c>
      <c r="I2157" t="s">
        <v>76</v>
      </c>
    </row>
    <row r="2158" spans="1:9" x14ac:dyDescent="0.3">
      <c r="A2158">
        <v>2782</v>
      </c>
      <c r="B2158" t="s">
        <v>1540</v>
      </c>
      <c r="C2158" t="s">
        <v>249</v>
      </c>
      <c r="D2158" t="s">
        <v>67</v>
      </c>
      <c r="E2158" t="s">
        <v>1539</v>
      </c>
      <c r="F2158" s="13">
        <v>2</v>
      </c>
      <c r="G2158" s="14">
        <v>1000.13</v>
      </c>
      <c r="H2158" s="13">
        <v>160</v>
      </c>
      <c r="I2158" t="s">
        <v>76</v>
      </c>
    </row>
    <row r="2159" spans="1:9" x14ac:dyDescent="0.3">
      <c r="A2159">
        <v>4356</v>
      </c>
      <c r="B2159" t="s">
        <v>1541</v>
      </c>
      <c r="C2159" t="s">
        <v>123</v>
      </c>
      <c r="D2159" t="s">
        <v>65</v>
      </c>
      <c r="E2159" t="s">
        <v>1539</v>
      </c>
      <c r="F2159" s="13">
        <v>1</v>
      </c>
      <c r="G2159" s="14">
        <v>149.82</v>
      </c>
      <c r="H2159" s="13">
        <v>160</v>
      </c>
      <c r="I2159" t="s">
        <v>76</v>
      </c>
    </row>
    <row r="2160" spans="1:9" x14ac:dyDescent="0.3">
      <c r="A2160">
        <v>4395</v>
      </c>
      <c r="B2160" t="s">
        <v>1542</v>
      </c>
      <c r="C2160" t="s">
        <v>133</v>
      </c>
      <c r="D2160" t="s">
        <v>64</v>
      </c>
      <c r="E2160" t="s">
        <v>1539</v>
      </c>
      <c r="F2160" s="13">
        <v>1</v>
      </c>
      <c r="G2160" s="14">
        <v>1318.63</v>
      </c>
      <c r="H2160" s="13">
        <v>160</v>
      </c>
      <c r="I2160" t="s">
        <v>76</v>
      </c>
    </row>
    <row r="2161" spans="1:9" x14ac:dyDescent="0.3">
      <c r="A2161">
        <v>5411</v>
      </c>
      <c r="B2161" t="s">
        <v>543</v>
      </c>
      <c r="C2161" t="s">
        <v>137</v>
      </c>
      <c r="D2161" t="s">
        <v>64</v>
      </c>
      <c r="E2161" t="s">
        <v>1539</v>
      </c>
      <c r="F2161" s="13">
        <v>1</v>
      </c>
      <c r="G2161" s="14">
        <v>1380.13</v>
      </c>
      <c r="H2161" s="13">
        <v>160</v>
      </c>
      <c r="I2161" t="s">
        <v>76</v>
      </c>
    </row>
    <row r="2162" spans="1:9" x14ac:dyDescent="0.3">
      <c r="A2162">
        <v>5861</v>
      </c>
      <c r="B2162" t="s">
        <v>1490</v>
      </c>
      <c r="C2162" t="s">
        <v>114</v>
      </c>
      <c r="D2162" t="s">
        <v>66</v>
      </c>
      <c r="E2162" t="s">
        <v>1539</v>
      </c>
      <c r="F2162" s="13">
        <v>2</v>
      </c>
      <c r="G2162" s="14">
        <v>4363.43</v>
      </c>
      <c r="H2162" s="13">
        <v>160</v>
      </c>
      <c r="I2162" t="s">
        <v>76</v>
      </c>
    </row>
    <row r="2163" spans="1:9" x14ac:dyDescent="0.3">
      <c r="A2163">
        <v>6399</v>
      </c>
      <c r="B2163" t="s">
        <v>1450</v>
      </c>
      <c r="C2163" t="s">
        <v>114</v>
      </c>
      <c r="D2163" t="s">
        <v>66</v>
      </c>
      <c r="E2163" t="s">
        <v>1539</v>
      </c>
      <c r="F2163" s="13">
        <v>4</v>
      </c>
      <c r="G2163" s="14">
        <v>5652.94</v>
      </c>
      <c r="H2163" s="13">
        <v>160</v>
      </c>
      <c r="I2163" t="s">
        <v>76</v>
      </c>
    </row>
    <row r="2164" spans="1:9" x14ac:dyDescent="0.3">
      <c r="A2164">
        <v>6756</v>
      </c>
      <c r="B2164" t="s">
        <v>366</v>
      </c>
      <c r="C2164" t="s">
        <v>92</v>
      </c>
      <c r="D2164" t="s">
        <v>64</v>
      </c>
      <c r="E2164" t="s">
        <v>1539</v>
      </c>
      <c r="F2164" s="13">
        <v>2</v>
      </c>
      <c r="G2164" s="14">
        <v>3804.98</v>
      </c>
      <c r="H2164" s="13">
        <v>160</v>
      </c>
      <c r="I2164" t="s">
        <v>76</v>
      </c>
    </row>
    <row r="2165" spans="1:9" x14ac:dyDescent="0.3">
      <c r="A2165">
        <v>7242</v>
      </c>
      <c r="B2165" t="s">
        <v>1543</v>
      </c>
      <c r="C2165" t="s">
        <v>92</v>
      </c>
      <c r="D2165" t="s">
        <v>64</v>
      </c>
      <c r="E2165" t="s">
        <v>1539</v>
      </c>
      <c r="F2165" s="13">
        <v>1</v>
      </c>
      <c r="G2165" s="14">
        <v>408.13</v>
      </c>
      <c r="H2165" s="13">
        <v>160</v>
      </c>
      <c r="I2165" t="s">
        <v>76</v>
      </c>
    </row>
    <row r="2166" spans="1:9" x14ac:dyDescent="0.3">
      <c r="A2166">
        <v>8137</v>
      </c>
      <c r="B2166" t="s">
        <v>338</v>
      </c>
      <c r="C2166" t="s">
        <v>123</v>
      </c>
      <c r="D2166" t="s">
        <v>65</v>
      </c>
      <c r="E2166" t="s">
        <v>1539</v>
      </c>
      <c r="F2166" s="13">
        <v>2</v>
      </c>
      <c r="G2166" s="14">
        <v>4538.5200000000004</v>
      </c>
      <c r="H2166" s="13">
        <v>160</v>
      </c>
      <c r="I2166" t="s">
        <v>76</v>
      </c>
    </row>
    <row r="2167" spans="1:9" x14ac:dyDescent="0.3">
      <c r="A2167">
        <v>8661</v>
      </c>
      <c r="B2167" t="s">
        <v>514</v>
      </c>
      <c r="C2167" t="s">
        <v>121</v>
      </c>
      <c r="D2167" t="s">
        <v>67</v>
      </c>
      <c r="E2167" t="s">
        <v>1539</v>
      </c>
      <c r="F2167" s="13">
        <v>2</v>
      </c>
      <c r="G2167" s="14">
        <v>1646.7</v>
      </c>
      <c r="H2167" s="13">
        <v>160</v>
      </c>
      <c r="I2167" t="s">
        <v>76</v>
      </c>
    </row>
    <row r="2168" spans="1:9" x14ac:dyDescent="0.3">
      <c r="A2168">
        <v>73</v>
      </c>
      <c r="B2168" t="s">
        <v>1544</v>
      </c>
      <c r="C2168" t="s">
        <v>137</v>
      </c>
      <c r="D2168" t="s">
        <v>64</v>
      </c>
      <c r="E2168" t="s">
        <v>1545</v>
      </c>
      <c r="F2168" s="13">
        <v>2</v>
      </c>
      <c r="G2168" s="14">
        <v>807.11</v>
      </c>
      <c r="H2168" s="13">
        <v>159</v>
      </c>
      <c r="I2168" t="s">
        <v>76</v>
      </c>
    </row>
    <row r="2169" spans="1:9" x14ac:dyDescent="0.3">
      <c r="A2169">
        <v>274</v>
      </c>
      <c r="B2169" t="s">
        <v>1546</v>
      </c>
      <c r="C2169" t="s">
        <v>137</v>
      </c>
      <c r="D2169" t="s">
        <v>64</v>
      </c>
      <c r="E2169" t="s">
        <v>1545</v>
      </c>
      <c r="F2169" s="13">
        <v>1</v>
      </c>
      <c r="G2169" s="14">
        <v>994.21</v>
      </c>
      <c r="H2169" s="13">
        <v>159</v>
      </c>
      <c r="I2169" t="s">
        <v>76</v>
      </c>
    </row>
    <row r="2170" spans="1:9" x14ac:dyDescent="0.3">
      <c r="A2170">
        <v>1004</v>
      </c>
      <c r="B2170" t="s">
        <v>1219</v>
      </c>
      <c r="C2170" t="s">
        <v>123</v>
      </c>
      <c r="D2170" t="s">
        <v>65</v>
      </c>
      <c r="E2170" t="s">
        <v>1545</v>
      </c>
      <c r="F2170" s="13">
        <v>2</v>
      </c>
      <c r="G2170" s="14">
        <v>387.17</v>
      </c>
      <c r="H2170" s="13">
        <v>159</v>
      </c>
      <c r="I2170" t="s">
        <v>76</v>
      </c>
    </row>
    <row r="2171" spans="1:9" x14ac:dyDescent="0.3">
      <c r="A2171">
        <v>1294</v>
      </c>
      <c r="B2171" t="s">
        <v>1547</v>
      </c>
      <c r="C2171" t="s">
        <v>92</v>
      </c>
      <c r="D2171" t="s">
        <v>64</v>
      </c>
      <c r="E2171" t="s">
        <v>1545</v>
      </c>
      <c r="F2171" s="13">
        <v>1</v>
      </c>
      <c r="G2171" s="14">
        <v>647.92999999999995</v>
      </c>
      <c r="H2171" s="13">
        <v>159</v>
      </c>
      <c r="I2171" t="s">
        <v>76</v>
      </c>
    </row>
    <row r="2172" spans="1:9" x14ac:dyDescent="0.3">
      <c r="A2172">
        <v>1372</v>
      </c>
      <c r="B2172" t="s">
        <v>1548</v>
      </c>
      <c r="C2172" t="s">
        <v>87</v>
      </c>
      <c r="D2172" t="s">
        <v>64</v>
      </c>
      <c r="E2172" t="s">
        <v>1545</v>
      </c>
      <c r="F2172" s="13">
        <v>3</v>
      </c>
      <c r="G2172" s="14">
        <v>4121.6099999999997</v>
      </c>
      <c r="H2172" s="13">
        <v>159</v>
      </c>
      <c r="I2172" t="s">
        <v>76</v>
      </c>
    </row>
    <row r="2173" spans="1:9" x14ac:dyDescent="0.3">
      <c r="A2173">
        <v>1500</v>
      </c>
      <c r="B2173" t="s">
        <v>540</v>
      </c>
      <c r="C2173" t="s">
        <v>95</v>
      </c>
      <c r="D2173" t="s">
        <v>65</v>
      </c>
      <c r="E2173" t="s">
        <v>1545</v>
      </c>
      <c r="F2173" s="13">
        <v>1</v>
      </c>
      <c r="G2173" s="14">
        <v>150.07</v>
      </c>
      <c r="H2173" s="13">
        <v>159</v>
      </c>
      <c r="I2173" t="s">
        <v>76</v>
      </c>
    </row>
    <row r="2174" spans="1:9" x14ac:dyDescent="0.3">
      <c r="A2174">
        <v>3974</v>
      </c>
      <c r="B2174" t="s">
        <v>756</v>
      </c>
      <c r="C2174" t="s">
        <v>92</v>
      </c>
      <c r="D2174" t="s">
        <v>64</v>
      </c>
      <c r="E2174" t="s">
        <v>1545</v>
      </c>
      <c r="F2174" s="13">
        <v>2</v>
      </c>
      <c r="G2174" s="14">
        <v>1369</v>
      </c>
      <c r="H2174" s="13">
        <v>159</v>
      </c>
      <c r="I2174" t="s">
        <v>76</v>
      </c>
    </row>
    <row r="2175" spans="1:9" x14ac:dyDescent="0.3">
      <c r="A2175">
        <v>4038</v>
      </c>
      <c r="B2175" t="s">
        <v>797</v>
      </c>
      <c r="C2175" t="s">
        <v>92</v>
      </c>
      <c r="D2175" t="s">
        <v>64</v>
      </c>
      <c r="E2175" t="s">
        <v>1545</v>
      </c>
      <c r="F2175" s="13">
        <v>2</v>
      </c>
      <c r="G2175" s="14">
        <v>3722.03</v>
      </c>
      <c r="H2175" s="13">
        <v>159</v>
      </c>
      <c r="I2175" t="s">
        <v>76</v>
      </c>
    </row>
    <row r="2176" spans="1:9" x14ac:dyDescent="0.3">
      <c r="A2176">
        <v>4391</v>
      </c>
      <c r="B2176" t="s">
        <v>1549</v>
      </c>
      <c r="C2176" t="s">
        <v>123</v>
      </c>
      <c r="D2176" t="s">
        <v>65</v>
      </c>
      <c r="E2176" t="s">
        <v>1545</v>
      </c>
      <c r="F2176" s="13">
        <v>4</v>
      </c>
      <c r="G2176" s="14">
        <v>5681.22</v>
      </c>
      <c r="H2176" s="13">
        <v>159</v>
      </c>
      <c r="I2176" t="s">
        <v>76</v>
      </c>
    </row>
    <row r="2177" spans="1:9" x14ac:dyDescent="0.3">
      <c r="A2177">
        <v>4457</v>
      </c>
      <c r="B2177" t="s">
        <v>993</v>
      </c>
      <c r="C2177" t="s">
        <v>103</v>
      </c>
      <c r="D2177" t="s">
        <v>67</v>
      </c>
      <c r="E2177" t="s">
        <v>1545</v>
      </c>
      <c r="F2177" s="13">
        <v>4</v>
      </c>
      <c r="G2177" s="14">
        <v>6927.31</v>
      </c>
      <c r="H2177" s="13">
        <v>159</v>
      </c>
      <c r="I2177" t="s">
        <v>76</v>
      </c>
    </row>
    <row r="2178" spans="1:9" x14ac:dyDescent="0.3">
      <c r="A2178">
        <v>4889</v>
      </c>
      <c r="B2178" t="s">
        <v>1550</v>
      </c>
      <c r="C2178" t="s">
        <v>97</v>
      </c>
      <c r="D2178" t="s">
        <v>65</v>
      </c>
      <c r="E2178" t="s">
        <v>1545</v>
      </c>
      <c r="F2178" s="13">
        <v>4</v>
      </c>
      <c r="G2178" s="14">
        <v>6256.57</v>
      </c>
      <c r="H2178" s="13">
        <v>159</v>
      </c>
      <c r="I2178" t="s">
        <v>76</v>
      </c>
    </row>
    <row r="2179" spans="1:9" x14ac:dyDescent="0.3">
      <c r="A2179">
        <v>5332</v>
      </c>
      <c r="B2179" t="s">
        <v>992</v>
      </c>
      <c r="C2179" t="s">
        <v>92</v>
      </c>
      <c r="D2179" t="s">
        <v>64</v>
      </c>
      <c r="E2179" t="s">
        <v>1545</v>
      </c>
      <c r="F2179" s="13">
        <v>1</v>
      </c>
      <c r="G2179" s="14">
        <v>967.69</v>
      </c>
      <c r="H2179" s="13">
        <v>159</v>
      </c>
      <c r="I2179" t="s">
        <v>76</v>
      </c>
    </row>
    <row r="2180" spans="1:9" x14ac:dyDescent="0.3">
      <c r="A2180">
        <v>6829</v>
      </c>
      <c r="B2180" t="s">
        <v>1551</v>
      </c>
      <c r="C2180" t="s">
        <v>137</v>
      </c>
      <c r="D2180" t="s">
        <v>64</v>
      </c>
      <c r="E2180" t="s">
        <v>1545</v>
      </c>
      <c r="F2180" s="13">
        <v>4</v>
      </c>
      <c r="G2180" s="14">
        <v>6447.46</v>
      </c>
      <c r="H2180" s="13">
        <v>159</v>
      </c>
      <c r="I2180" t="s">
        <v>76</v>
      </c>
    </row>
    <row r="2181" spans="1:9" x14ac:dyDescent="0.3">
      <c r="A2181">
        <v>7917</v>
      </c>
      <c r="B2181" t="s">
        <v>1552</v>
      </c>
      <c r="C2181" t="s">
        <v>97</v>
      </c>
      <c r="D2181" t="s">
        <v>65</v>
      </c>
      <c r="E2181" t="s">
        <v>1545</v>
      </c>
      <c r="F2181" s="13">
        <v>3</v>
      </c>
      <c r="G2181" s="14">
        <v>7108.91</v>
      </c>
      <c r="H2181" s="13">
        <v>159</v>
      </c>
      <c r="I2181" t="s">
        <v>76</v>
      </c>
    </row>
    <row r="2182" spans="1:9" x14ac:dyDescent="0.3">
      <c r="A2182">
        <v>125</v>
      </c>
      <c r="B2182" t="s">
        <v>1002</v>
      </c>
      <c r="C2182" t="s">
        <v>137</v>
      </c>
      <c r="D2182" t="s">
        <v>64</v>
      </c>
      <c r="E2182" t="s">
        <v>1553</v>
      </c>
      <c r="F2182" s="13">
        <v>1</v>
      </c>
      <c r="G2182" s="14">
        <v>1015.57</v>
      </c>
      <c r="H2182" s="13">
        <v>158</v>
      </c>
      <c r="I2182" t="s">
        <v>76</v>
      </c>
    </row>
    <row r="2183" spans="1:9" x14ac:dyDescent="0.3">
      <c r="A2183">
        <v>346</v>
      </c>
      <c r="B2183" t="s">
        <v>201</v>
      </c>
      <c r="C2183" t="s">
        <v>97</v>
      </c>
      <c r="D2183" t="s">
        <v>65</v>
      </c>
      <c r="E2183" t="s">
        <v>1553</v>
      </c>
      <c r="F2183" s="13">
        <v>5</v>
      </c>
      <c r="G2183" s="14">
        <v>8649.52</v>
      </c>
      <c r="H2183" s="13">
        <v>158</v>
      </c>
      <c r="I2183" t="s">
        <v>76</v>
      </c>
    </row>
    <row r="2184" spans="1:9" x14ac:dyDescent="0.3">
      <c r="A2184">
        <v>3197</v>
      </c>
      <c r="B2184" t="s">
        <v>1554</v>
      </c>
      <c r="C2184" t="s">
        <v>95</v>
      </c>
      <c r="D2184" t="s">
        <v>65</v>
      </c>
      <c r="E2184" t="s">
        <v>1553</v>
      </c>
      <c r="F2184" s="13">
        <v>2</v>
      </c>
      <c r="G2184" s="14">
        <v>3745.9</v>
      </c>
      <c r="H2184" s="13">
        <v>158</v>
      </c>
      <c r="I2184" t="s">
        <v>76</v>
      </c>
    </row>
    <row r="2185" spans="1:9" x14ac:dyDescent="0.3">
      <c r="A2185">
        <v>3643</v>
      </c>
      <c r="B2185" t="s">
        <v>953</v>
      </c>
      <c r="C2185" t="s">
        <v>92</v>
      </c>
      <c r="D2185" t="s">
        <v>64</v>
      </c>
      <c r="E2185" t="s">
        <v>1553</v>
      </c>
      <c r="F2185" s="13">
        <v>1</v>
      </c>
      <c r="G2185" s="14">
        <v>184.47</v>
      </c>
      <c r="H2185" s="13">
        <v>158</v>
      </c>
      <c r="I2185" t="s">
        <v>76</v>
      </c>
    </row>
    <row r="2186" spans="1:9" x14ac:dyDescent="0.3">
      <c r="A2186">
        <v>3742</v>
      </c>
      <c r="B2186" t="s">
        <v>407</v>
      </c>
      <c r="C2186" t="s">
        <v>90</v>
      </c>
      <c r="D2186" t="s">
        <v>66</v>
      </c>
      <c r="E2186" t="s">
        <v>1553</v>
      </c>
      <c r="F2186" s="13">
        <v>3</v>
      </c>
      <c r="G2186" s="14">
        <v>6276.89</v>
      </c>
      <c r="H2186" s="13">
        <v>158</v>
      </c>
      <c r="I2186" t="s">
        <v>76</v>
      </c>
    </row>
    <row r="2187" spans="1:9" x14ac:dyDescent="0.3">
      <c r="A2187">
        <v>4502</v>
      </c>
      <c r="B2187" t="s">
        <v>1555</v>
      </c>
      <c r="C2187" t="s">
        <v>92</v>
      </c>
      <c r="D2187" t="s">
        <v>64</v>
      </c>
      <c r="E2187" t="s">
        <v>1553</v>
      </c>
      <c r="F2187" s="13">
        <v>2</v>
      </c>
      <c r="G2187" s="14">
        <v>2678.34</v>
      </c>
      <c r="H2187" s="13">
        <v>158</v>
      </c>
      <c r="I2187" t="s">
        <v>76</v>
      </c>
    </row>
    <row r="2188" spans="1:9" x14ac:dyDescent="0.3">
      <c r="A2188">
        <v>6378</v>
      </c>
      <c r="B2188" t="s">
        <v>1556</v>
      </c>
      <c r="C2188" t="s">
        <v>133</v>
      </c>
      <c r="D2188" t="s">
        <v>64</v>
      </c>
      <c r="E2188" t="s">
        <v>1553</v>
      </c>
      <c r="F2188" s="13">
        <v>1</v>
      </c>
      <c r="G2188" s="14">
        <v>4413.74</v>
      </c>
      <c r="H2188" s="13">
        <v>158</v>
      </c>
      <c r="I2188" t="s">
        <v>76</v>
      </c>
    </row>
    <row r="2189" spans="1:9" x14ac:dyDescent="0.3">
      <c r="A2189">
        <v>8281</v>
      </c>
      <c r="B2189" t="s">
        <v>636</v>
      </c>
      <c r="C2189" t="s">
        <v>92</v>
      </c>
      <c r="D2189" t="s">
        <v>64</v>
      </c>
      <c r="E2189" t="s">
        <v>1553</v>
      </c>
      <c r="F2189" s="13">
        <v>1</v>
      </c>
      <c r="G2189" s="14">
        <v>378.97</v>
      </c>
      <c r="H2189" s="13">
        <v>158</v>
      </c>
      <c r="I2189" t="s">
        <v>76</v>
      </c>
    </row>
    <row r="2190" spans="1:9" x14ac:dyDescent="0.3">
      <c r="A2190">
        <v>8453</v>
      </c>
      <c r="B2190" t="s">
        <v>1276</v>
      </c>
      <c r="C2190" t="s">
        <v>92</v>
      </c>
      <c r="D2190" t="s">
        <v>64</v>
      </c>
      <c r="E2190" t="s">
        <v>1553</v>
      </c>
      <c r="F2190" s="13">
        <v>3</v>
      </c>
      <c r="G2190" s="14">
        <v>3136.97</v>
      </c>
      <c r="H2190" s="13">
        <v>158</v>
      </c>
      <c r="I2190" t="s">
        <v>76</v>
      </c>
    </row>
    <row r="2191" spans="1:9" x14ac:dyDescent="0.3">
      <c r="A2191">
        <v>250</v>
      </c>
      <c r="B2191" t="s">
        <v>208</v>
      </c>
      <c r="C2191" t="s">
        <v>133</v>
      </c>
      <c r="D2191" t="s">
        <v>64</v>
      </c>
      <c r="E2191" t="s">
        <v>1557</v>
      </c>
      <c r="F2191" s="13">
        <v>1</v>
      </c>
      <c r="G2191" s="14">
        <v>4273.2299999999996</v>
      </c>
      <c r="H2191" s="13">
        <v>157</v>
      </c>
      <c r="I2191" t="s">
        <v>76</v>
      </c>
    </row>
    <row r="2192" spans="1:9" x14ac:dyDescent="0.3">
      <c r="A2192">
        <v>790</v>
      </c>
      <c r="B2192" t="s">
        <v>1558</v>
      </c>
      <c r="C2192" t="s">
        <v>114</v>
      </c>
      <c r="D2192" t="s">
        <v>66</v>
      </c>
      <c r="E2192" t="s">
        <v>1557</v>
      </c>
      <c r="F2192" s="13">
        <v>3</v>
      </c>
      <c r="G2192" s="14">
        <v>1893.03</v>
      </c>
      <c r="H2192" s="13">
        <v>157</v>
      </c>
      <c r="I2192" t="s">
        <v>76</v>
      </c>
    </row>
    <row r="2193" spans="1:9" x14ac:dyDescent="0.3">
      <c r="A2193">
        <v>1163</v>
      </c>
      <c r="B2193" t="s">
        <v>138</v>
      </c>
      <c r="C2193" t="s">
        <v>92</v>
      </c>
      <c r="D2193" t="s">
        <v>64</v>
      </c>
      <c r="E2193" t="s">
        <v>1557</v>
      </c>
      <c r="F2193" s="13">
        <v>1</v>
      </c>
      <c r="G2193" s="14">
        <v>167.41</v>
      </c>
      <c r="H2193" s="13">
        <v>157</v>
      </c>
      <c r="I2193" t="s">
        <v>76</v>
      </c>
    </row>
    <row r="2194" spans="1:9" x14ac:dyDescent="0.3">
      <c r="A2194">
        <v>2749</v>
      </c>
      <c r="B2194" t="s">
        <v>1559</v>
      </c>
      <c r="C2194" t="s">
        <v>137</v>
      </c>
      <c r="D2194" t="s">
        <v>64</v>
      </c>
      <c r="E2194" t="s">
        <v>1557</v>
      </c>
      <c r="F2194" s="13">
        <v>2</v>
      </c>
      <c r="G2194" s="14">
        <v>2215.87</v>
      </c>
      <c r="H2194" s="13">
        <v>157</v>
      </c>
      <c r="I2194" t="s">
        <v>76</v>
      </c>
    </row>
    <row r="2195" spans="1:9" x14ac:dyDescent="0.3">
      <c r="A2195">
        <v>3107</v>
      </c>
      <c r="B2195" t="s">
        <v>277</v>
      </c>
      <c r="C2195" t="s">
        <v>133</v>
      </c>
      <c r="D2195" t="s">
        <v>64</v>
      </c>
      <c r="E2195" t="s">
        <v>1557</v>
      </c>
      <c r="F2195" s="13">
        <v>2</v>
      </c>
      <c r="G2195" s="14">
        <v>9485.51</v>
      </c>
      <c r="H2195" s="13">
        <v>157</v>
      </c>
      <c r="I2195" t="s">
        <v>76</v>
      </c>
    </row>
    <row r="2196" spans="1:9" x14ac:dyDescent="0.3">
      <c r="A2196">
        <v>4338</v>
      </c>
      <c r="B2196" t="s">
        <v>1304</v>
      </c>
      <c r="C2196" t="s">
        <v>100</v>
      </c>
      <c r="D2196" t="s">
        <v>66</v>
      </c>
      <c r="E2196" t="s">
        <v>1557</v>
      </c>
      <c r="F2196" s="13">
        <v>3</v>
      </c>
      <c r="G2196" s="14">
        <v>11510.61</v>
      </c>
      <c r="H2196" s="13">
        <v>157</v>
      </c>
      <c r="I2196" t="s">
        <v>76</v>
      </c>
    </row>
    <row r="2197" spans="1:9" x14ac:dyDescent="0.3">
      <c r="A2197">
        <v>5081</v>
      </c>
      <c r="B2197" t="s">
        <v>671</v>
      </c>
      <c r="C2197" t="s">
        <v>90</v>
      </c>
      <c r="D2197" t="s">
        <v>66</v>
      </c>
      <c r="E2197" t="s">
        <v>1557</v>
      </c>
      <c r="F2197" s="13">
        <v>1</v>
      </c>
      <c r="G2197" s="14">
        <v>7091.05</v>
      </c>
      <c r="H2197" s="13">
        <v>157</v>
      </c>
      <c r="I2197" t="s">
        <v>76</v>
      </c>
    </row>
    <row r="2198" spans="1:9" x14ac:dyDescent="0.3">
      <c r="A2198">
        <v>5281</v>
      </c>
      <c r="B2198" t="s">
        <v>448</v>
      </c>
      <c r="C2198" t="s">
        <v>249</v>
      </c>
      <c r="D2198" t="s">
        <v>67</v>
      </c>
      <c r="E2198" t="s">
        <v>1557</v>
      </c>
      <c r="F2198" s="13">
        <v>8</v>
      </c>
      <c r="G2198" s="14">
        <v>12412.25</v>
      </c>
      <c r="H2198" s="13">
        <v>157</v>
      </c>
      <c r="I2198" t="s">
        <v>76</v>
      </c>
    </row>
    <row r="2199" spans="1:9" x14ac:dyDescent="0.3">
      <c r="A2199">
        <v>6838</v>
      </c>
      <c r="B2199" t="s">
        <v>621</v>
      </c>
      <c r="C2199" t="s">
        <v>92</v>
      </c>
      <c r="D2199" t="s">
        <v>64</v>
      </c>
      <c r="E2199" t="s">
        <v>1557</v>
      </c>
      <c r="F2199" s="13">
        <v>2</v>
      </c>
      <c r="G2199" s="14">
        <v>3778.5</v>
      </c>
      <c r="H2199" s="13">
        <v>157</v>
      </c>
      <c r="I2199" t="s">
        <v>76</v>
      </c>
    </row>
    <row r="2200" spans="1:9" x14ac:dyDescent="0.3">
      <c r="A2200">
        <v>7189</v>
      </c>
      <c r="B2200" t="s">
        <v>457</v>
      </c>
      <c r="C2200" t="s">
        <v>92</v>
      </c>
      <c r="D2200" t="s">
        <v>64</v>
      </c>
      <c r="E2200" t="s">
        <v>1557</v>
      </c>
      <c r="F2200" s="13">
        <v>2</v>
      </c>
      <c r="G2200" s="14">
        <v>857.76</v>
      </c>
      <c r="H2200" s="13">
        <v>157</v>
      </c>
      <c r="I2200" t="s">
        <v>76</v>
      </c>
    </row>
    <row r="2201" spans="1:9" x14ac:dyDescent="0.3">
      <c r="A2201">
        <v>7702</v>
      </c>
      <c r="B2201" t="s">
        <v>116</v>
      </c>
      <c r="C2201" t="s">
        <v>137</v>
      </c>
      <c r="D2201" t="s">
        <v>64</v>
      </c>
      <c r="E2201" t="s">
        <v>1557</v>
      </c>
      <c r="F2201" s="13">
        <v>1</v>
      </c>
      <c r="G2201" s="14">
        <v>4263.18</v>
      </c>
      <c r="H2201" s="13">
        <v>157</v>
      </c>
      <c r="I2201" t="s">
        <v>76</v>
      </c>
    </row>
    <row r="2202" spans="1:9" x14ac:dyDescent="0.3">
      <c r="A2202">
        <v>8212</v>
      </c>
      <c r="B2202" t="s">
        <v>1044</v>
      </c>
      <c r="C2202" t="s">
        <v>156</v>
      </c>
      <c r="D2202" t="s">
        <v>68</v>
      </c>
      <c r="E2202" t="s">
        <v>1557</v>
      </c>
      <c r="F2202" s="13">
        <v>4</v>
      </c>
      <c r="G2202" s="14">
        <v>2803.21</v>
      </c>
      <c r="H2202" s="13">
        <v>157</v>
      </c>
      <c r="I2202" t="s">
        <v>76</v>
      </c>
    </row>
    <row r="2203" spans="1:9" x14ac:dyDescent="0.3">
      <c r="A2203">
        <v>8523</v>
      </c>
      <c r="B2203" t="s">
        <v>1560</v>
      </c>
      <c r="C2203" t="s">
        <v>137</v>
      </c>
      <c r="D2203" t="s">
        <v>64</v>
      </c>
      <c r="E2203" t="s">
        <v>1557</v>
      </c>
      <c r="F2203" s="13">
        <v>3</v>
      </c>
      <c r="G2203" s="14">
        <v>6087.03</v>
      </c>
      <c r="H2203" s="13">
        <v>157</v>
      </c>
      <c r="I2203" t="s">
        <v>76</v>
      </c>
    </row>
    <row r="2204" spans="1:9" x14ac:dyDescent="0.3">
      <c r="A2204">
        <v>294</v>
      </c>
      <c r="B2204" t="s">
        <v>277</v>
      </c>
      <c r="C2204" t="s">
        <v>92</v>
      </c>
      <c r="D2204" t="s">
        <v>64</v>
      </c>
      <c r="E2204" t="s">
        <v>1561</v>
      </c>
      <c r="F2204" s="13">
        <v>2</v>
      </c>
      <c r="G2204" s="14">
        <v>907.24</v>
      </c>
      <c r="H2204" s="13">
        <v>156</v>
      </c>
      <c r="I2204" t="s">
        <v>76</v>
      </c>
    </row>
    <row r="2205" spans="1:9" x14ac:dyDescent="0.3">
      <c r="A2205">
        <v>413</v>
      </c>
      <c r="B2205" t="s">
        <v>257</v>
      </c>
      <c r="C2205" t="s">
        <v>92</v>
      </c>
      <c r="D2205" t="s">
        <v>64</v>
      </c>
      <c r="E2205" t="s">
        <v>1561</v>
      </c>
      <c r="F2205" s="13">
        <v>3</v>
      </c>
      <c r="G2205" s="14">
        <v>4470.54</v>
      </c>
      <c r="H2205" s="13">
        <v>156</v>
      </c>
      <c r="I2205" t="s">
        <v>76</v>
      </c>
    </row>
    <row r="2206" spans="1:9" x14ac:dyDescent="0.3">
      <c r="A2206">
        <v>551</v>
      </c>
      <c r="B2206" t="s">
        <v>264</v>
      </c>
      <c r="C2206" t="s">
        <v>121</v>
      </c>
      <c r="D2206" t="s">
        <v>67</v>
      </c>
      <c r="E2206" t="s">
        <v>1561</v>
      </c>
      <c r="F2206" s="13">
        <v>1</v>
      </c>
      <c r="G2206" s="14">
        <v>424.6</v>
      </c>
      <c r="H2206" s="13">
        <v>156</v>
      </c>
      <c r="I2206" t="s">
        <v>76</v>
      </c>
    </row>
    <row r="2207" spans="1:9" x14ac:dyDescent="0.3">
      <c r="A2207">
        <v>2014</v>
      </c>
      <c r="B2207" t="s">
        <v>760</v>
      </c>
      <c r="C2207" t="s">
        <v>114</v>
      </c>
      <c r="D2207" t="s">
        <v>66</v>
      </c>
      <c r="E2207" t="s">
        <v>1561</v>
      </c>
      <c r="F2207" s="13">
        <v>1</v>
      </c>
      <c r="G2207" s="14">
        <v>6337.94</v>
      </c>
      <c r="H2207" s="13">
        <v>156</v>
      </c>
      <c r="I2207" t="s">
        <v>76</v>
      </c>
    </row>
    <row r="2208" spans="1:9" x14ac:dyDescent="0.3">
      <c r="A2208">
        <v>2335</v>
      </c>
      <c r="B2208" t="s">
        <v>1562</v>
      </c>
      <c r="C2208" t="s">
        <v>133</v>
      </c>
      <c r="D2208" t="s">
        <v>64</v>
      </c>
      <c r="E2208" t="s">
        <v>1561</v>
      </c>
      <c r="F2208" s="13">
        <v>1</v>
      </c>
      <c r="G2208" s="14">
        <v>252.42</v>
      </c>
      <c r="H2208" s="13">
        <v>156</v>
      </c>
      <c r="I2208" t="s">
        <v>76</v>
      </c>
    </row>
    <row r="2209" spans="1:9" x14ac:dyDescent="0.3">
      <c r="A2209">
        <v>3439</v>
      </c>
      <c r="B2209" t="s">
        <v>1563</v>
      </c>
      <c r="C2209" t="s">
        <v>92</v>
      </c>
      <c r="D2209" t="s">
        <v>64</v>
      </c>
      <c r="E2209" t="s">
        <v>1561</v>
      </c>
      <c r="F2209" s="13">
        <v>1</v>
      </c>
      <c r="G2209" s="14">
        <v>3187.75</v>
      </c>
      <c r="H2209" s="13">
        <v>156</v>
      </c>
      <c r="I2209" t="s">
        <v>76</v>
      </c>
    </row>
    <row r="2210" spans="1:9" x14ac:dyDescent="0.3">
      <c r="A2210">
        <v>4192</v>
      </c>
      <c r="B2210" t="s">
        <v>404</v>
      </c>
      <c r="C2210" t="s">
        <v>114</v>
      </c>
      <c r="D2210" t="s">
        <v>66</v>
      </c>
      <c r="E2210" t="s">
        <v>1561</v>
      </c>
      <c r="F2210" s="13">
        <v>1</v>
      </c>
      <c r="G2210" s="14">
        <v>747.38</v>
      </c>
      <c r="H2210" s="13">
        <v>156</v>
      </c>
      <c r="I2210" t="s">
        <v>76</v>
      </c>
    </row>
    <row r="2211" spans="1:9" x14ac:dyDescent="0.3">
      <c r="A2211">
        <v>4276</v>
      </c>
      <c r="B2211" t="s">
        <v>466</v>
      </c>
      <c r="C2211" t="s">
        <v>90</v>
      </c>
      <c r="D2211" t="s">
        <v>66</v>
      </c>
      <c r="E2211" t="s">
        <v>1561</v>
      </c>
      <c r="F2211" s="13">
        <v>5</v>
      </c>
      <c r="G2211" s="14">
        <v>5529.28</v>
      </c>
      <c r="H2211" s="13">
        <v>156</v>
      </c>
      <c r="I2211" t="s">
        <v>76</v>
      </c>
    </row>
    <row r="2212" spans="1:9" x14ac:dyDescent="0.3">
      <c r="A2212">
        <v>5004</v>
      </c>
      <c r="B2212" t="s">
        <v>509</v>
      </c>
      <c r="C2212" t="s">
        <v>103</v>
      </c>
      <c r="D2212" t="s">
        <v>67</v>
      </c>
      <c r="E2212" t="s">
        <v>1561</v>
      </c>
      <c r="F2212" s="13">
        <v>1</v>
      </c>
      <c r="G2212" s="14">
        <v>106.15</v>
      </c>
      <c r="H2212" s="13">
        <v>156</v>
      </c>
      <c r="I2212" t="s">
        <v>76</v>
      </c>
    </row>
    <row r="2213" spans="1:9" x14ac:dyDescent="0.3">
      <c r="A2213">
        <v>6219</v>
      </c>
      <c r="B2213" t="s">
        <v>1564</v>
      </c>
      <c r="C2213" t="s">
        <v>97</v>
      </c>
      <c r="D2213" t="s">
        <v>65</v>
      </c>
      <c r="E2213" t="s">
        <v>1561</v>
      </c>
      <c r="F2213" s="13">
        <v>2</v>
      </c>
      <c r="G2213" s="14">
        <v>1058.27</v>
      </c>
      <c r="H2213" s="13">
        <v>156</v>
      </c>
      <c r="I2213" t="s">
        <v>76</v>
      </c>
    </row>
    <row r="2214" spans="1:9" x14ac:dyDescent="0.3">
      <c r="A2214">
        <v>6651</v>
      </c>
      <c r="B2214" t="s">
        <v>1565</v>
      </c>
      <c r="C2214" t="s">
        <v>95</v>
      </c>
      <c r="D2214" t="s">
        <v>65</v>
      </c>
      <c r="E2214" t="s">
        <v>1561</v>
      </c>
      <c r="F2214" s="13">
        <v>1</v>
      </c>
      <c r="G2214" s="14">
        <v>2693.96</v>
      </c>
      <c r="H2214" s="13">
        <v>156</v>
      </c>
      <c r="I2214" t="s">
        <v>76</v>
      </c>
    </row>
    <row r="2215" spans="1:9" x14ac:dyDescent="0.3">
      <c r="A2215">
        <v>7719</v>
      </c>
      <c r="B2215" t="s">
        <v>327</v>
      </c>
      <c r="C2215" t="s">
        <v>92</v>
      </c>
      <c r="D2215" t="s">
        <v>64</v>
      </c>
      <c r="E2215" t="s">
        <v>1561</v>
      </c>
      <c r="F2215" s="13">
        <v>6</v>
      </c>
      <c r="G2215" s="14">
        <v>13853.72</v>
      </c>
      <c r="H2215" s="13">
        <v>156</v>
      </c>
      <c r="I2215" t="s">
        <v>76</v>
      </c>
    </row>
    <row r="2216" spans="1:9" x14ac:dyDescent="0.3">
      <c r="A2216">
        <v>7824</v>
      </c>
      <c r="B2216" t="s">
        <v>283</v>
      </c>
      <c r="C2216" t="s">
        <v>103</v>
      </c>
      <c r="D2216" t="s">
        <v>67</v>
      </c>
      <c r="E2216" t="s">
        <v>1561</v>
      </c>
      <c r="F2216" s="13">
        <v>2</v>
      </c>
      <c r="G2216" s="14">
        <v>1593.05</v>
      </c>
      <c r="H2216" s="13">
        <v>156</v>
      </c>
      <c r="I2216" t="s">
        <v>76</v>
      </c>
    </row>
    <row r="2217" spans="1:9" x14ac:dyDescent="0.3">
      <c r="A2217">
        <v>8057</v>
      </c>
      <c r="B2217" t="s">
        <v>1566</v>
      </c>
      <c r="C2217" t="s">
        <v>92</v>
      </c>
      <c r="D2217" t="s">
        <v>64</v>
      </c>
      <c r="E2217" t="s">
        <v>1561</v>
      </c>
      <c r="F2217" s="13">
        <v>3</v>
      </c>
      <c r="G2217" s="14">
        <v>2040.14</v>
      </c>
      <c r="H2217" s="13">
        <v>156</v>
      </c>
      <c r="I2217" t="s">
        <v>76</v>
      </c>
    </row>
    <row r="2218" spans="1:9" x14ac:dyDescent="0.3">
      <c r="A2218">
        <v>1835</v>
      </c>
      <c r="B2218" t="s">
        <v>1567</v>
      </c>
      <c r="C2218" t="s">
        <v>103</v>
      </c>
      <c r="D2218" t="s">
        <v>67</v>
      </c>
      <c r="E2218" t="s">
        <v>1568</v>
      </c>
      <c r="F2218" s="13">
        <v>3</v>
      </c>
      <c r="G2218" s="14">
        <v>1892.34</v>
      </c>
      <c r="H2218" s="13">
        <v>155</v>
      </c>
      <c r="I2218" t="s">
        <v>76</v>
      </c>
    </row>
    <row r="2219" spans="1:9" x14ac:dyDescent="0.3">
      <c r="A2219">
        <v>2529</v>
      </c>
      <c r="B2219" t="s">
        <v>735</v>
      </c>
      <c r="C2219" t="s">
        <v>114</v>
      </c>
      <c r="D2219" t="s">
        <v>66</v>
      </c>
      <c r="E2219" t="s">
        <v>1568</v>
      </c>
      <c r="F2219" s="13">
        <v>4</v>
      </c>
      <c r="G2219" s="14">
        <v>12026.84</v>
      </c>
      <c r="H2219" s="13">
        <v>155</v>
      </c>
      <c r="I2219" t="s">
        <v>76</v>
      </c>
    </row>
    <row r="2220" spans="1:9" x14ac:dyDescent="0.3">
      <c r="A2220">
        <v>3238</v>
      </c>
      <c r="B2220" t="s">
        <v>466</v>
      </c>
      <c r="C2220" t="s">
        <v>92</v>
      </c>
      <c r="D2220" t="s">
        <v>64</v>
      </c>
      <c r="E2220" t="s">
        <v>1568</v>
      </c>
      <c r="F2220" s="13">
        <v>3</v>
      </c>
      <c r="G2220" s="14">
        <v>7323.68</v>
      </c>
      <c r="H2220" s="13">
        <v>155</v>
      </c>
      <c r="I2220" t="s">
        <v>76</v>
      </c>
    </row>
    <row r="2221" spans="1:9" x14ac:dyDescent="0.3">
      <c r="A2221">
        <v>3306</v>
      </c>
      <c r="B2221" t="s">
        <v>1569</v>
      </c>
      <c r="C2221" t="s">
        <v>100</v>
      </c>
      <c r="D2221" t="s">
        <v>66</v>
      </c>
      <c r="E2221" t="s">
        <v>1568</v>
      </c>
      <c r="F2221" s="13">
        <v>3</v>
      </c>
      <c r="G2221" s="14">
        <v>11795.37</v>
      </c>
      <c r="H2221" s="13">
        <v>155</v>
      </c>
      <c r="I2221" t="s">
        <v>76</v>
      </c>
    </row>
    <row r="2222" spans="1:9" x14ac:dyDescent="0.3">
      <c r="A2222">
        <v>4061</v>
      </c>
      <c r="B2222" t="s">
        <v>208</v>
      </c>
      <c r="C2222" t="s">
        <v>92</v>
      </c>
      <c r="D2222" t="s">
        <v>64</v>
      </c>
      <c r="E2222" t="s">
        <v>1568</v>
      </c>
      <c r="F2222" s="13">
        <v>1</v>
      </c>
      <c r="G2222" s="14">
        <v>7034.96</v>
      </c>
      <c r="H2222" s="13">
        <v>155</v>
      </c>
      <c r="I2222" t="s">
        <v>76</v>
      </c>
    </row>
    <row r="2223" spans="1:9" x14ac:dyDescent="0.3">
      <c r="A2223">
        <v>4184</v>
      </c>
      <c r="B2223" t="s">
        <v>318</v>
      </c>
      <c r="C2223" t="s">
        <v>92</v>
      </c>
      <c r="D2223" t="s">
        <v>64</v>
      </c>
      <c r="E2223" t="s">
        <v>1568</v>
      </c>
      <c r="F2223" s="13">
        <v>3</v>
      </c>
      <c r="G2223" s="14">
        <v>6283.21</v>
      </c>
      <c r="H2223" s="13">
        <v>155</v>
      </c>
      <c r="I2223" t="s">
        <v>76</v>
      </c>
    </row>
    <row r="2224" spans="1:9" x14ac:dyDescent="0.3">
      <c r="A2224">
        <v>4287</v>
      </c>
      <c r="B2224" t="s">
        <v>514</v>
      </c>
      <c r="C2224" t="s">
        <v>87</v>
      </c>
      <c r="D2224" t="s">
        <v>64</v>
      </c>
      <c r="E2224" t="s">
        <v>1568</v>
      </c>
      <c r="F2224" s="13">
        <v>3</v>
      </c>
      <c r="G2224" s="14">
        <v>12062.83</v>
      </c>
      <c r="H2224" s="13">
        <v>155</v>
      </c>
      <c r="I2224" t="s">
        <v>76</v>
      </c>
    </row>
    <row r="2225" spans="1:9" x14ac:dyDescent="0.3">
      <c r="A2225">
        <v>6375</v>
      </c>
      <c r="B2225" t="s">
        <v>149</v>
      </c>
      <c r="C2225" t="s">
        <v>92</v>
      </c>
      <c r="D2225" t="s">
        <v>64</v>
      </c>
      <c r="E2225" t="s">
        <v>1568</v>
      </c>
      <c r="F2225" s="13">
        <v>2</v>
      </c>
      <c r="G2225" s="14">
        <v>12796.83</v>
      </c>
      <c r="H2225" s="13">
        <v>155</v>
      </c>
      <c r="I2225" t="s">
        <v>76</v>
      </c>
    </row>
    <row r="2226" spans="1:9" x14ac:dyDescent="0.3">
      <c r="A2226">
        <v>6820</v>
      </c>
      <c r="B2226" t="s">
        <v>253</v>
      </c>
      <c r="C2226" t="s">
        <v>92</v>
      </c>
      <c r="D2226" t="s">
        <v>64</v>
      </c>
      <c r="E2226" t="s">
        <v>1568</v>
      </c>
      <c r="F2226" s="13">
        <v>2</v>
      </c>
      <c r="G2226" s="14">
        <v>7311.65</v>
      </c>
      <c r="H2226" s="13">
        <v>155</v>
      </c>
      <c r="I2226" t="s">
        <v>76</v>
      </c>
    </row>
    <row r="2227" spans="1:9" x14ac:dyDescent="0.3">
      <c r="A2227">
        <v>6908</v>
      </c>
      <c r="B2227" t="s">
        <v>135</v>
      </c>
      <c r="C2227" t="s">
        <v>92</v>
      </c>
      <c r="D2227" t="s">
        <v>64</v>
      </c>
      <c r="E2227" t="s">
        <v>1568</v>
      </c>
      <c r="F2227" s="13">
        <v>2</v>
      </c>
      <c r="G2227" s="14">
        <v>1888.86</v>
      </c>
      <c r="H2227" s="13">
        <v>155</v>
      </c>
      <c r="I2227" t="s">
        <v>76</v>
      </c>
    </row>
    <row r="2228" spans="1:9" x14ac:dyDescent="0.3">
      <c r="A2228">
        <v>7495</v>
      </c>
      <c r="B2228" t="s">
        <v>1570</v>
      </c>
      <c r="C2228" t="s">
        <v>95</v>
      </c>
      <c r="D2228" t="s">
        <v>65</v>
      </c>
      <c r="E2228" t="s">
        <v>1568</v>
      </c>
      <c r="F2228" s="13">
        <v>1</v>
      </c>
      <c r="G2228" s="14">
        <v>191.58</v>
      </c>
      <c r="H2228" s="13">
        <v>155</v>
      </c>
      <c r="I2228" t="s">
        <v>76</v>
      </c>
    </row>
    <row r="2229" spans="1:9" x14ac:dyDescent="0.3">
      <c r="A2229">
        <v>8357</v>
      </c>
      <c r="B2229" t="s">
        <v>668</v>
      </c>
      <c r="C2229" t="s">
        <v>103</v>
      </c>
      <c r="D2229" t="s">
        <v>67</v>
      </c>
      <c r="E2229" t="s">
        <v>1568</v>
      </c>
      <c r="F2229" s="13">
        <v>3</v>
      </c>
      <c r="G2229" s="14">
        <v>5040.6899999999996</v>
      </c>
      <c r="H2229" s="13">
        <v>155</v>
      </c>
      <c r="I2229" t="s">
        <v>76</v>
      </c>
    </row>
    <row r="2230" spans="1:9" x14ac:dyDescent="0.3">
      <c r="A2230">
        <v>8500</v>
      </c>
      <c r="B2230" t="s">
        <v>980</v>
      </c>
      <c r="C2230" t="s">
        <v>133</v>
      </c>
      <c r="D2230" t="s">
        <v>64</v>
      </c>
      <c r="E2230" t="s">
        <v>1568</v>
      </c>
      <c r="F2230" s="13">
        <v>1</v>
      </c>
      <c r="G2230" s="14">
        <v>864.51</v>
      </c>
      <c r="H2230" s="13">
        <v>155</v>
      </c>
      <c r="I2230" t="s">
        <v>76</v>
      </c>
    </row>
    <row r="2231" spans="1:9" x14ac:dyDescent="0.3">
      <c r="A2231">
        <v>8681</v>
      </c>
      <c r="B2231" t="s">
        <v>333</v>
      </c>
      <c r="C2231" t="s">
        <v>92</v>
      </c>
      <c r="D2231" t="s">
        <v>64</v>
      </c>
      <c r="E2231" t="s">
        <v>1568</v>
      </c>
      <c r="F2231" s="13">
        <v>3</v>
      </c>
      <c r="G2231" s="14">
        <v>10366.43</v>
      </c>
      <c r="H2231" s="13">
        <v>155</v>
      </c>
      <c r="I2231" t="s">
        <v>76</v>
      </c>
    </row>
    <row r="2232" spans="1:9" x14ac:dyDescent="0.3">
      <c r="A2232">
        <v>8</v>
      </c>
      <c r="B2232" t="s">
        <v>237</v>
      </c>
      <c r="C2232" t="s">
        <v>123</v>
      </c>
      <c r="D2232" t="s">
        <v>65</v>
      </c>
      <c r="E2232" t="s">
        <v>1571</v>
      </c>
      <c r="F2232" s="13">
        <v>1</v>
      </c>
      <c r="G2232" s="14">
        <v>4677.47</v>
      </c>
      <c r="H2232" s="13">
        <v>154</v>
      </c>
      <c r="I2232" t="s">
        <v>76</v>
      </c>
    </row>
    <row r="2233" spans="1:9" x14ac:dyDescent="0.3">
      <c r="A2233">
        <v>468</v>
      </c>
      <c r="B2233" t="s">
        <v>645</v>
      </c>
      <c r="C2233" t="s">
        <v>137</v>
      </c>
      <c r="D2233" t="s">
        <v>64</v>
      </c>
      <c r="E2233" t="s">
        <v>1571</v>
      </c>
      <c r="F2233" s="13">
        <v>1</v>
      </c>
      <c r="G2233" s="14">
        <v>5621.22</v>
      </c>
      <c r="H2233" s="13">
        <v>154</v>
      </c>
      <c r="I2233" t="s">
        <v>76</v>
      </c>
    </row>
    <row r="2234" spans="1:9" x14ac:dyDescent="0.3">
      <c r="A2234">
        <v>602</v>
      </c>
      <c r="B2234" t="s">
        <v>534</v>
      </c>
      <c r="C2234" t="s">
        <v>92</v>
      </c>
      <c r="D2234" t="s">
        <v>64</v>
      </c>
      <c r="E2234" t="s">
        <v>1571</v>
      </c>
      <c r="F2234" s="13">
        <v>6</v>
      </c>
      <c r="G2234" s="14">
        <v>10309.549999999999</v>
      </c>
      <c r="H2234" s="13">
        <v>154</v>
      </c>
      <c r="I2234" t="s">
        <v>76</v>
      </c>
    </row>
    <row r="2235" spans="1:9" x14ac:dyDescent="0.3">
      <c r="A2235">
        <v>1042</v>
      </c>
      <c r="B2235" t="s">
        <v>1572</v>
      </c>
      <c r="C2235" t="s">
        <v>97</v>
      </c>
      <c r="D2235" t="s">
        <v>65</v>
      </c>
      <c r="E2235" t="s">
        <v>1571</v>
      </c>
      <c r="F2235" s="13">
        <v>3</v>
      </c>
      <c r="G2235" s="14">
        <v>6317.81</v>
      </c>
      <c r="H2235" s="13">
        <v>154</v>
      </c>
      <c r="I2235" t="s">
        <v>76</v>
      </c>
    </row>
    <row r="2236" spans="1:9" x14ac:dyDescent="0.3">
      <c r="A2236">
        <v>1299</v>
      </c>
      <c r="B2236" t="s">
        <v>1573</v>
      </c>
      <c r="C2236" t="s">
        <v>97</v>
      </c>
      <c r="D2236" t="s">
        <v>65</v>
      </c>
      <c r="E2236" t="s">
        <v>1571</v>
      </c>
      <c r="F2236" s="13">
        <v>1</v>
      </c>
      <c r="G2236" s="14">
        <v>925.82</v>
      </c>
      <c r="H2236" s="13">
        <v>154</v>
      </c>
      <c r="I2236" t="s">
        <v>76</v>
      </c>
    </row>
    <row r="2237" spans="1:9" x14ac:dyDescent="0.3">
      <c r="A2237">
        <v>1876</v>
      </c>
      <c r="B2237" t="s">
        <v>382</v>
      </c>
      <c r="C2237" t="s">
        <v>95</v>
      </c>
      <c r="D2237" t="s">
        <v>65</v>
      </c>
      <c r="E2237" t="s">
        <v>1571</v>
      </c>
      <c r="F2237" s="13">
        <v>3</v>
      </c>
      <c r="G2237" s="14">
        <v>4762.03</v>
      </c>
      <c r="H2237" s="13">
        <v>154</v>
      </c>
      <c r="I2237" t="s">
        <v>76</v>
      </c>
    </row>
    <row r="2238" spans="1:9" x14ac:dyDescent="0.3">
      <c r="A2238">
        <v>1960</v>
      </c>
      <c r="B2238" t="s">
        <v>153</v>
      </c>
      <c r="C2238" t="s">
        <v>90</v>
      </c>
      <c r="D2238" t="s">
        <v>66</v>
      </c>
      <c r="E2238" t="s">
        <v>1571</v>
      </c>
      <c r="F2238" s="13">
        <v>4</v>
      </c>
      <c r="G2238" s="14">
        <v>5038</v>
      </c>
      <c r="H2238" s="13">
        <v>154</v>
      </c>
      <c r="I2238" t="s">
        <v>76</v>
      </c>
    </row>
    <row r="2239" spans="1:9" x14ac:dyDescent="0.3">
      <c r="A2239">
        <v>2373</v>
      </c>
      <c r="B2239" t="s">
        <v>449</v>
      </c>
      <c r="C2239" t="s">
        <v>137</v>
      </c>
      <c r="D2239" t="s">
        <v>64</v>
      </c>
      <c r="E2239" t="s">
        <v>1571</v>
      </c>
      <c r="F2239" s="13">
        <v>1</v>
      </c>
      <c r="G2239" s="14">
        <v>328.18</v>
      </c>
      <c r="H2239" s="13">
        <v>154</v>
      </c>
      <c r="I2239" t="s">
        <v>76</v>
      </c>
    </row>
    <row r="2240" spans="1:9" x14ac:dyDescent="0.3">
      <c r="A2240">
        <v>3529</v>
      </c>
      <c r="B2240" t="s">
        <v>388</v>
      </c>
      <c r="C2240" t="s">
        <v>249</v>
      </c>
      <c r="D2240" t="s">
        <v>67</v>
      </c>
      <c r="E2240" t="s">
        <v>1571</v>
      </c>
      <c r="F2240" s="13">
        <v>4</v>
      </c>
      <c r="G2240" s="14">
        <v>4706.7299999999996</v>
      </c>
      <c r="H2240" s="13">
        <v>154</v>
      </c>
      <c r="I2240" t="s">
        <v>76</v>
      </c>
    </row>
    <row r="2241" spans="1:9" x14ac:dyDescent="0.3">
      <c r="A2241">
        <v>3985</v>
      </c>
      <c r="B2241" t="s">
        <v>1574</v>
      </c>
      <c r="C2241" t="s">
        <v>87</v>
      </c>
      <c r="D2241" t="s">
        <v>64</v>
      </c>
      <c r="E2241" t="s">
        <v>1571</v>
      </c>
      <c r="F2241" s="13">
        <v>4</v>
      </c>
      <c r="G2241" s="14">
        <v>16565.36</v>
      </c>
      <c r="H2241" s="13">
        <v>154</v>
      </c>
      <c r="I2241" t="s">
        <v>76</v>
      </c>
    </row>
    <row r="2242" spans="1:9" x14ac:dyDescent="0.3">
      <c r="A2242">
        <v>4430</v>
      </c>
      <c r="B2242" t="s">
        <v>1575</v>
      </c>
      <c r="C2242" t="s">
        <v>133</v>
      </c>
      <c r="D2242" t="s">
        <v>64</v>
      </c>
      <c r="E2242" t="s">
        <v>1571</v>
      </c>
      <c r="F2242" s="13">
        <v>1</v>
      </c>
      <c r="G2242" s="14">
        <v>748.5</v>
      </c>
      <c r="H2242" s="13">
        <v>154</v>
      </c>
      <c r="I2242" t="s">
        <v>76</v>
      </c>
    </row>
    <row r="2243" spans="1:9" x14ac:dyDescent="0.3">
      <c r="A2243">
        <v>4778</v>
      </c>
      <c r="B2243" t="s">
        <v>1576</v>
      </c>
      <c r="C2243" t="s">
        <v>95</v>
      </c>
      <c r="D2243" t="s">
        <v>65</v>
      </c>
      <c r="E2243" t="s">
        <v>1571</v>
      </c>
      <c r="F2243" s="13">
        <v>5</v>
      </c>
      <c r="G2243" s="14">
        <v>3590.87</v>
      </c>
      <c r="H2243" s="13">
        <v>154</v>
      </c>
      <c r="I2243" t="s">
        <v>76</v>
      </c>
    </row>
    <row r="2244" spans="1:9" x14ac:dyDescent="0.3">
      <c r="A2244">
        <v>4803</v>
      </c>
      <c r="B2244" t="s">
        <v>382</v>
      </c>
      <c r="C2244" t="s">
        <v>92</v>
      </c>
      <c r="D2244" t="s">
        <v>64</v>
      </c>
      <c r="E2244" t="s">
        <v>1571</v>
      </c>
      <c r="F2244" s="13">
        <v>1</v>
      </c>
      <c r="G2244" s="14">
        <v>47.23</v>
      </c>
      <c r="H2244" s="13">
        <v>154</v>
      </c>
      <c r="I2244" t="s">
        <v>76</v>
      </c>
    </row>
    <row r="2245" spans="1:9" x14ac:dyDescent="0.3">
      <c r="A2245">
        <v>5136</v>
      </c>
      <c r="B2245" t="s">
        <v>1577</v>
      </c>
      <c r="C2245" t="s">
        <v>249</v>
      </c>
      <c r="D2245" t="s">
        <v>67</v>
      </c>
      <c r="E2245" t="s">
        <v>1571</v>
      </c>
      <c r="F2245" s="13">
        <v>9</v>
      </c>
      <c r="G2245" s="14">
        <v>26925.15</v>
      </c>
      <c r="H2245" s="13">
        <v>154</v>
      </c>
      <c r="I2245" t="s">
        <v>76</v>
      </c>
    </row>
    <row r="2246" spans="1:9" x14ac:dyDescent="0.3">
      <c r="A2246">
        <v>5283</v>
      </c>
      <c r="B2246" t="s">
        <v>1578</v>
      </c>
      <c r="C2246" t="s">
        <v>121</v>
      </c>
      <c r="D2246" t="s">
        <v>67</v>
      </c>
      <c r="E2246" t="s">
        <v>1571</v>
      </c>
      <c r="F2246" s="13">
        <v>4</v>
      </c>
      <c r="G2246" s="14">
        <v>7014.65</v>
      </c>
      <c r="H2246" s="13">
        <v>154</v>
      </c>
      <c r="I2246" t="s">
        <v>76</v>
      </c>
    </row>
    <row r="2247" spans="1:9" x14ac:dyDescent="0.3">
      <c r="A2247">
        <v>5543</v>
      </c>
      <c r="B2247" t="s">
        <v>756</v>
      </c>
      <c r="C2247" t="s">
        <v>92</v>
      </c>
      <c r="D2247" t="s">
        <v>64</v>
      </c>
      <c r="E2247" t="s">
        <v>1571</v>
      </c>
      <c r="F2247" s="13">
        <v>1</v>
      </c>
      <c r="G2247" s="14">
        <v>8707.58</v>
      </c>
      <c r="H2247" s="13">
        <v>154</v>
      </c>
      <c r="I2247" t="s">
        <v>76</v>
      </c>
    </row>
    <row r="2248" spans="1:9" x14ac:dyDescent="0.3">
      <c r="A2248">
        <v>5663</v>
      </c>
      <c r="B2248" t="s">
        <v>1579</v>
      </c>
      <c r="C2248" t="s">
        <v>87</v>
      </c>
      <c r="D2248" t="s">
        <v>64</v>
      </c>
      <c r="E2248" t="s">
        <v>1571</v>
      </c>
      <c r="F2248" s="13">
        <v>8</v>
      </c>
      <c r="G2248" s="14">
        <v>28670.92</v>
      </c>
      <c r="H2248" s="13">
        <v>154</v>
      </c>
      <c r="I2248" t="s">
        <v>76</v>
      </c>
    </row>
    <row r="2249" spans="1:9" x14ac:dyDescent="0.3">
      <c r="A2249">
        <v>6463</v>
      </c>
      <c r="B2249" t="s">
        <v>559</v>
      </c>
      <c r="C2249" t="s">
        <v>95</v>
      </c>
      <c r="D2249" t="s">
        <v>65</v>
      </c>
      <c r="E2249" t="s">
        <v>1571</v>
      </c>
      <c r="F2249" s="13">
        <v>1</v>
      </c>
      <c r="G2249" s="14">
        <v>723.04</v>
      </c>
      <c r="H2249" s="13">
        <v>154</v>
      </c>
      <c r="I2249" t="s">
        <v>76</v>
      </c>
    </row>
    <row r="2250" spans="1:9" x14ac:dyDescent="0.3">
      <c r="A2250">
        <v>7305</v>
      </c>
      <c r="B2250" t="s">
        <v>175</v>
      </c>
      <c r="C2250" t="s">
        <v>97</v>
      </c>
      <c r="D2250" t="s">
        <v>65</v>
      </c>
      <c r="E2250" t="s">
        <v>1571</v>
      </c>
      <c r="F2250" s="13">
        <v>3</v>
      </c>
      <c r="G2250" s="14">
        <v>1947.22</v>
      </c>
      <c r="H2250" s="13">
        <v>154</v>
      </c>
      <c r="I2250" t="s">
        <v>76</v>
      </c>
    </row>
    <row r="2251" spans="1:9" x14ac:dyDescent="0.3">
      <c r="A2251">
        <v>425</v>
      </c>
      <c r="B2251" t="s">
        <v>86</v>
      </c>
      <c r="C2251" t="s">
        <v>137</v>
      </c>
      <c r="D2251" t="s">
        <v>64</v>
      </c>
      <c r="E2251" t="s">
        <v>1580</v>
      </c>
      <c r="F2251" s="13">
        <v>1</v>
      </c>
      <c r="G2251" s="14">
        <v>1126.58</v>
      </c>
      <c r="H2251" s="13">
        <v>153</v>
      </c>
      <c r="I2251" t="s">
        <v>76</v>
      </c>
    </row>
    <row r="2252" spans="1:9" x14ac:dyDescent="0.3">
      <c r="A2252">
        <v>1734</v>
      </c>
      <c r="B2252" t="s">
        <v>1581</v>
      </c>
      <c r="C2252" t="s">
        <v>95</v>
      </c>
      <c r="D2252" t="s">
        <v>65</v>
      </c>
      <c r="E2252" t="s">
        <v>1580</v>
      </c>
      <c r="F2252" s="13">
        <v>1</v>
      </c>
      <c r="G2252" s="14">
        <v>1203.28</v>
      </c>
      <c r="H2252" s="13">
        <v>153</v>
      </c>
      <c r="I2252" t="s">
        <v>76</v>
      </c>
    </row>
    <row r="2253" spans="1:9" x14ac:dyDescent="0.3">
      <c r="A2253">
        <v>1827</v>
      </c>
      <c r="B2253" t="s">
        <v>364</v>
      </c>
      <c r="C2253" t="s">
        <v>100</v>
      </c>
      <c r="D2253" t="s">
        <v>66</v>
      </c>
      <c r="E2253" t="s">
        <v>1580</v>
      </c>
      <c r="F2253" s="13">
        <v>7</v>
      </c>
      <c r="G2253" s="14">
        <v>5388.87</v>
      </c>
      <c r="H2253" s="13">
        <v>153</v>
      </c>
      <c r="I2253" t="s">
        <v>76</v>
      </c>
    </row>
    <row r="2254" spans="1:9" x14ac:dyDescent="0.3">
      <c r="A2254">
        <v>2265</v>
      </c>
      <c r="B2254" t="s">
        <v>388</v>
      </c>
      <c r="C2254" t="s">
        <v>87</v>
      </c>
      <c r="D2254" t="s">
        <v>64</v>
      </c>
      <c r="E2254" t="s">
        <v>1580</v>
      </c>
      <c r="F2254" s="13">
        <v>1</v>
      </c>
      <c r="G2254" s="14">
        <v>155.77000000000001</v>
      </c>
      <c r="H2254" s="13">
        <v>153</v>
      </c>
      <c r="I2254" t="s">
        <v>76</v>
      </c>
    </row>
    <row r="2255" spans="1:9" x14ac:dyDescent="0.3">
      <c r="A2255">
        <v>2353</v>
      </c>
      <c r="B2255" t="s">
        <v>668</v>
      </c>
      <c r="C2255" t="s">
        <v>95</v>
      </c>
      <c r="D2255" t="s">
        <v>65</v>
      </c>
      <c r="E2255" t="s">
        <v>1580</v>
      </c>
      <c r="F2255" s="13">
        <v>4</v>
      </c>
      <c r="G2255" s="14">
        <v>10609.44</v>
      </c>
      <c r="H2255" s="13">
        <v>153</v>
      </c>
      <c r="I2255" t="s">
        <v>76</v>
      </c>
    </row>
    <row r="2256" spans="1:9" x14ac:dyDescent="0.3">
      <c r="A2256">
        <v>2645</v>
      </c>
      <c r="B2256" t="s">
        <v>1582</v>
      </c>
      <c r="C2256" t="s">
        <v>473</v>
      </c>
      <c r="D2256" t="s">
        <v>68</v>
      </c>
      <c r="E2256" t="s">
        <v>1580</v>
      </c>
      <c r="F2256" s="13">
        <v>2</v>
      </c>
      <c r="G2256" s="14">
        <v>656.94</v>
      </c>
      <c r="H2256" s="13">
        <v>153</v>
      </c>
      <c r="I2256" t="s">
        <v>76</v>
      </c>
    </row>
    <row r="2257" spans="1:9" x14ac:dyDescent="0.3">
      <c r="A2257">
        <v>2876</v>
      </c>
      <c r="B2257" t="s">
        <v>293</v>
      </c>
      <c r="C2257" t="s">
        <v>90</v>
      </c>
      <c r="D2257" t="s">
        <v>66</v>
      </c>
      <c r="E2257" t="s">
        <v>1580</v>
      </c>
      <c r="F2257" s="13">
        <v>2</v>
      </c>
      <c r="G2257" s="14">
        <v>7041.19</v>
      </c>
      <c r="H2257" s="13">
        <v>153</v>
      </c>
      <c r="I2257" t="s">
        <v>76</v>
      </c>
    </row>
    <row r="2258" spans="1:9" x14ac:dyDescent="0.3">
      <c r="A2258">
        <v>2960</v>
      </c>
      <c r="B2258" t="s">
        <v>1583</v>
      </c>
      <c r="C2258" t="s">
        <v>95</v>
      </c>
      <c r="D2258" t="s">
        <v>65</v>
      </c>
      <c r="E2258" t="s">
        <v>1580</v>
      </c>
      <c r="F2258" s="13">
        <v>1</v>
      </c>
      <c r="G2258" s="14">
        <v>1022.87</v>
      </c>
      <c r="H2258" s="13">
        <v>153</v>
      </c>
      <c r="I2258" t="s">
        <v>76</v>
      </c>
    </row>
    <row r="2259" spans="1:9" x14ac:dyDescent="0.3">
      <c r="A2259">
        <v>3069</v>
      </c>
      <c r="B2259" t="s">
        <v>396</v>
      </c>
      <c r="C2259" t="s">
        <v>133</v>
      </c>
      <c r="D2259" t="s">
        <v>64</v>
      </c>
      <c r="E2259" t="s">
        <v>1580</v>
      </c>
      <c r="F2259" s="13">
        <v>3</v>
      </c>
      <c r="G2259" s="14">
        <v>5335.63</v>
      </c>
      <c r="H2259" s="13">
        <v>153</v>
      </c>
      <c r="I2259" t="s">
        <v>76</v>
      </c>
    </row>
    <row r="2260" spans="1:9" x14ac:dyDescent="0.3">
      <c r="A2260">
        <v>3441</v>
      </c>
      <c r="B2260" t="s">
        <v>1078</v>
      </c>
      <c r="C2260" t="s">
        <v>114</v>
      </c>
      <c r="D2260" t="s">
        <v>66</v>
      </c>
      <c r="E2260" t="s">
        <v>1580</v>
      </c>
      <c r="F2260" s="13">
        <v>2</v>
      </c>
      <c r="G2260" s="14">
        <v>11668.26</v>
      </c>
      <c r="H2260" s="13">
        <v>153</v>
      </c>
      <c r="I2260" t="s">
        <v>76</v>
      </c>
    </row>
    <row r="2261" spans="1:9" x14ac:dyDescent="0.3">
      <c r="A2261">
        <v>3806</v>
      </c>
      <c r="B2261" t="s">
        <v>167</v>
      </c>
      <c r="C2261" t="s">
        <v>92</v>
      </c>
      <c r="D2261" t="s">
        <v>64</v>
      </c>
      <c r="E2261" t="s">
        <v>1580</v>
      </c>
      <c r="F2261" s="13">
        <v>2</v>
      </c>
      <c r="G2261" s="14">
        <v>2052.7600000000002</v>
      </c>
      <c r="H2261" s="13">
        <v>153</v>
      </c>
      <c r="I2261" t="s">
        <v>76</v>
      </c>
    </row>
    <row r="2262" spans="1:9" x14ac:dyDescent="0.3">
      <c r="A2262">
        <v>4131</v>
      </c>
      <c r="B2262" t="s">
        <v>327</v>
      </c>
      <c r="C2262" t="s">
        <v>90</v>
      </c>
      <c r="D2262" t="s">
        <v>66</v>
      </c>
      <c r="E2262" t="s">
        <v>1580</v>
      </c>
      <c r="F2262" s="13">
        <v>1</v>
      </c>
      <c r="G2262" s="14">
        <v>1987.8</v>
      </c>
      <c r="H2262" s="13">
        <v>153</v>
      </c>
      <c r="I2262" t="s">
        <v>76</v>
      </c>
    </row>
    <row r="2263" spans="1:9" x14ac:dyDescent="0.3">
      <c r="A2263">
        <v>5314</v>
      </c>
      <c r="B2263" t="s">
        <v>818</v>
      </c>
      <c r="C2263" t="s">
        <v>92</v>
      </c>
      <c r="D2263" t="s">
        <v>64</v>
      </c>
      <c r="E2263" t="s">
        <v>1580</v>
      </c>
      <c r="F2263" s="13">
        <v>2</v>
      </c>
      <c r="G2263" s="14">
        <v>796.26</v>
      </c>
      <c r="H2263" s="13">
        <v>153</v>
      </c>
      <c r="I2263" t="s">
        <v>76</v>
      </c>
    </row>
    <row r="2264" spans="1:9" x14ac:dyDescent="0.3">
      <c r="A2264">
        <v>6101</v>
      </c>
      <c r="B2264" t="s">
        <v>1095</v>
      </c>
      <c r="C2264" t="s">
        <v>92</v>
      </c>
      <c r="D2264" t="s">
        <v>64</v>
      </c>
      <c r="E2264" t="s">
        <v>1580</v>
      </c>
      <c r="F2264" s="13">
        <v>4</v>
      </c>
      <c r="G2264" s="14">
        <v>10501.81</v>
      </c>
      <c r="H2264" s="13">
        <v>153</v>
      </c>
      <c r="I2264" t="s">
        <v>76</v>
      </c>
    </row>
    <row r="2265" spans="1:9" x14ac:dyDescent="0.3">
      <c r="A2265">
        <v>6911</v>
      </c>
      <c r="B2265" t="s">
        <v>1584</v>
      </c>
      <c r="C2265" t="s">
        <v>90</v>
      </c>
      <c r="D2265" t="s">
        <v>66</v>
      </c>
      <c r="E2265" t="s">
        <v>1580</v>
      </c>
      <c r="F2265" s="13">
        <v>3</v>
      </c>
      <c r="G2265" s="14">
        <v>4594.7</v>
      </c>
      <c r="H2265" s="13">
        <v>153</v>
      </c>
      <c r="I2265" t="s">
        <v>76</v>
      </c>
    </row>
    <row r="2266" spans="1:9" x14ac:dyDescent="0.3">
      <c r="A2266">
        <v>8425</v>
      </c>
      <c r="B2266" t="s">
        <v>1585</v>
      </c>
      <c r="C2266" t="s">
        <v>97</v>
      </c>
      <c r="D2266" t="s">
        <v>65</v>
      </c>
      <c r="E2266" t="s">
        <v>1580</v>
      </c>
      <c r="F2266" s="13">
        <v>3</v>
      </c>
      <c r="G2266" s="14">
        <v>8970.42</v>
      </c>
      <c r="H2266" s="13">
        <v>153</v>
      </c>
      <c r="I2266" t="s">
        <v>76</v>
      </c>
    </row>
    <row r="2267" spans="1:9" x14ac:dyDescent="0.3">
      <c r="A2267">
        <v>8683</v>
      </c>
      <c r="B2267" t="s">
        <v>1586</v>
      </c>
      <c r="C2267" t="s">
        <v>123</v>
      </c>
      <c r="D2267" t="s">
        <v>65</v>
      </c>
      <c r="E2267" t="s">
        <v>1580</v>
      </c>
      <c r="F2267" s="13">
        <v>2</v>
      </c>
      <c r="G2267" s="14">
        <v>3546.28</v>
      </c>
      <c r="H2267" s="13">
        <v>153</v>
      </c>
      <c r="I2267" t="s">
        <v>76</v>
      </c>
    </row>
    <row r="2268" spans="1:9" x14ac:dyDescent="0.3">
      <c r="A2268">
        <v>182</v>
      </c>
      <c r="B2268" t="s">
        <v>259</v>
      </c>
      <c r="C2268" t="s">
        <v>92</v>
      </c>
      <c r="D2268" t="s">
        <v>64</v>
      </c>
      <c r="E2268" t="s">
        <v>1587</v>
      </c>
      <c r="F2268" s="13">
        <v>4</v>
      </c>
      <c r="G2268" s="14">
        <v>17701.86</v>
      </c>
      <c r="H2268" s="13">
        <v>152</v>
      </c>
      <c r="I2268" t="s">
        <v>76</v>
      </c>
    </row>
    <row r="2269" spans="1:9" x14ac:dyDescent="0.3">
      <c r="A2269">
        <v>2354</v>
      </c>
      <c r="B2269" t="s">
        <v>414</v>
      </c>
      <c r="C2269" t="s">
        <v>103</v>
      </c>
      <c r="D2269" t="s">
        <v>67</v>
      </c>
      <c r="E2269" t="s">
        <v>1587</v>
      </c>
      <c r="F2269" s="13">
        <v>2</v>
      </c>
      <c r="G2269" s="14">
        <v>336.6</v>
      </c>
      <c r="H2269" s="13">
        <v>152</v>
      </c>
      <c r="I2269" t="s">
        <v>76</v>
      </c>
    </row>
    <row r="2270" spans="1:9" x14ac:dyDescent="0.3">
      <c r="A2270">
        <v>2593</v>
      </c>
      <c r="B2270" t="s">
        <v>257</v>
      </c>
      <c r="C2270" t="s">
        <v>92</v>
      </c>
      <c r="D2270" t="s">
        <v>64</v>
      </c>
      <c r="E2270" t="s">
        <v>1587</v>
      </c>
      <c r="F2270" s="13">
        <v>4</v>
      </c>
      <c r="G2270" s="14">
        <v>2381.88</v>
      </c>
      <c r="H2270" s="13">
        <v>152</v>
      </c>
      <c r="I2270" t="s">
        <v>76</v>
      </c>
    </row>
    <row r="2271" spans="1:9" x14ac:dyDescent="0.3">
      <c r="A2271">
        <v>3155</v>
      </c>
      <c r="B2271" t="s">
        <v>323</v>
      </c>
      <c r="C2271" t="s">
        <v>103</v>
      </c>
      <c r="D2271" t="s">
        <v>67</v>
      </c>
      <c r="E2271" t="s">
        <v>1587</v>
      </c>
      <c r="F2271" s="13">
        <v>2</v>
      </c>
      <c r="G2271" s="14">
        <v>1172.6600000000001</v>
      </c>
      <c r="H2271" s="13">
        <v>152</v>
      </c>
      <c r="I2271" t="s">
        <v>76</v>
      </c>
    </row>
    <row r="2272" spans="1:9" x14ac:dyDescent="0.3">
      <c r="A2272">
        <v>3498</v>
      </c>
      <c r="B2272" t="s">
        <v>1588</v>
      </c>
      <c r="C2272" t="s">
        <v>90</v>
      </c>
      <c r="D2272" t="s">
        <v>66</v>
      </c>
      <c r="E2272" t="s">
        <v>1587</v>
      </c>
      <c r="F2272" s="13">
        <v>1</v>
      </c>
      <c r="G2272" s="14">
        <v>373.6</v>
      </c>
      <c r="H2272" s="13">
        <v>152</v>
      </c>
      <c r="I2272" t="s">
        <v>76</v>
      </c>
    </row>
    <row r="2273" spans="1:9" x14ac:dyDescent="0.3">
      <c r="A2273">
        <v>3778</v>
      </c>
      <c r="B2273" t="s">
        <v>1589</v>
      </c>
      <c r="C2273" t="s">
        <v>133</v>
      </c>
      <c r="D2273" t="s">
        <v>64</v>
      </c>
      <c r="E2273" t="s">
        <v>1587</v>
      </c>
      <c r="F2273" s="13">
        <v>3</v>
      </c>
      <c r="G2273" s="14">
        <v>5453.92</v>
      </c>
      <c r="H2273" s="13">
        <v>152</v>
      </c>
      <c r="I2273" t="s">
        <v>76</v>
      </c>
    </row>
    <row r="2274" spans="1:9" x14ac:dyDescent="0.3">
      <c r="A2274">
        <v>6256</v>
      </c>
      <c r="B2274" t="s">
        <v>1590</v>
      </c>
      <c r="C2274" t="s">
        <v>103</v>
      </c>
      <c r="D2274" t="s">
        <v>67</v>
      </c>
      <c r="E2274" t="s">
        <v>1587</v>
      </c>
      <c r="F2274" s="13">
        <v>1</v>
      </c>
      <c r="G2274" s="14">
        <v>823.12</v>
      </c>
      <c r="H2274" s="13">
        <v>152</v>
      </c>
      <c r="I2274" t="s">
        <v>76</v>
      </c>
    </row>
    <row r="2275" spans="1:9" x14ac:dyDescent="0.3">
      <c r="A2275">
        <v>7583</v>
      </c>
      <c r="B2275" t="s">
        <v>1591</v>
      </c>
      <c r="C2275" t="s">
        <v>92</v>
      </c>
      <c r="D2275" t="s">
        <v>64</v>
      </c>
      <c r="E2275" t="s">
        <v>1587</v>
      </c>
      <c r="F2275" s="13">
        <v>1</v>
      </c>
      <c r="G2275" s="14">
        <v>2277.13</v>
      </c>
      <c r="H2275" s="13">
        <v>152</v>
      </c>
      <c r="I2275" t="s">
        <v>76</v>
      </c>
    </row>
    <row r="2276" spans="1:9" x14ac:dyDescent="0.3">
      <c r="A2276">
        <v>8828</v>
      </c>
      <c r="B2276" t="s">
        <v>1592</v>
      </c>
      <c r="C2276" t="s">
        <v>249</v>
      </c>
      <c r="D2276" t="s">
        <v>67</v>
      </c>
      <c r="E2276" t="s">
        <v>1587</v>
      </c>
      <c r="F2276" s="13">
        <v>1</v>
      </c>
      <c r="G2276" s="14">
        <v>1429.2</v>
      </c>
      <c r="H2276" s="13">
        <v>152</v>
      </c>
      <c r="I2276" t="s">
        <v>76</v>
      </c>
    </row>
    <row r="2277" spans="1:9" x14ac:dyDescent="0.3">
      <c r="A2277">
        <v>560</v>
      </c>
      <c r="B2277" t="s">
        <v>99</v>
      </c>
      <c r="C2277" t="s">
        <v>100</v>
      </c>
      <c r="D2277" t="s">
        <v>66</v>
      </c>
      <c r="E2277" t="s">
        <v>1593</v>
      </c>
      <c r="F2277" s="13">
        <v>1</v>
      </c>
      <c r="G2277" s="14">
        <v>57.95</v>
      </c>
      <c r="H2277" s="13">
        <v>151</v>
      </c>
      <c r="I2277" t="s">
        <v>76</v>
      </c>
    </row>
    <row r="2278" spans="1:9" x14ac:dyDescent="0.3">
      <c r="A2278">
        <v>1388</v>
      </c>
      <c r="B2278" t="s">
        <v>361</v>
      </c>
      <c r="C2278" t="s">
        <v>137</v>
      </c>
      <c r="D2278" t="s">
        <v>64</v>
      </c>
      <c r="E2278" t="s">
        <v>1593</v>
      </c>
      <c r="F2278" s="13">
        <v>3</v>
      </c>
      <c r="G2278" s="14">
        <v>3872.57</v>
      </c>
      <c r="H2278" s="13">
        <v>151</v>
      </c>
      <c r="I2278" t="s">
        <v>76</v>
      </c>
    </row>
    <row r="2279" spans="1:9" x14ac:dyDescent="0.3">
      <c r="A2279">
        <v>1409</v>
      </c>
      <c r="B2279" t="s">
        <v>1594</v>
      </c>
      <c r="C2279" t="s">
        <v>249</v>
      </c>
      <c r="D2279" t="s">
        <v>67</v>
      </c>
      <c r="E2279" t="s">
        <v>1593</v>
      </c>
      <c r="F2279" s="13">
        <v>5</v>
      </c>
      <c r="G2279" s="14">
        <v>14915.88</v>
      </c>
      <c r="H2279" s="13">
        <v>151</v>
      </c>
      <c r="I2279" t="s">
        <v>76</v>
      </c>
    </row>
    <row r="2280" spans="1:9" x14ac:dyDescent="0.3">
      <c r="A2280">
        <v>1450</v>
      </c>
      <c r="B2280" t="s">
        <v>1595</v>
      </c>
      <c r="C2280" t="s">
        <v>92</v>
      </c>
      <c r="D2280" t="s">
        <v>64</v>
      </c>
      <c r="E2280" t="s">
        <v>1593</v>
      </c>
      <c r="F2280" s="13">
        <v>3</v>
      </c>
      <c r="G2280" s="14">
        <v>15244.01</v>
      </c>
      <c r="H2280" s="13">
        <v>151</v>
      </c>
      <c r="I2280" t="s">
        <v>76</v>
      </c>
    </row>
    <row r="2281" spans="1:9" x14ac:dyDescent="0.3">
      <c r="A2281">
        <v>1643</v>
      </c>
      <c r="B2281" t="s">
        <v>438</v>
      </c>
      <c r="C2281" t="s">
        <v>103</v>
      </c>
      <c r="D2281" t="s">
        <v>67</v>
      </c>
      <c r="E2281" t="s">
        <v>1593</v>
      </c>
      <c r="F2281" s="13">
        <v>2</v>
      </c>
      <c r="G2281" s="14">
        <v>5899.5</v>
      </c>
      <c r="H2281" s="13">
        <v>151</v>
      </c>
      <c r="I2281" t="s">
        <v>76</v>
      </c>
    </row>
    <row r="2282" spans="1:9" x14ac:dyDescent="0.3">
      <c r="A2282">
        <v>3011</v>
      </c>
      <c r="B2282" t="s">
        <v>404</v>
      </c>
      <c r="C2282" t="s">
        <v>123</v>
      </c>
      <c r="D2282" t="s">
        <v>65</v>
      </c>
      <c r="E2282" t="s">
        <v>1593</v>
      </c>
      <c r="F2282" s="13">
        <v>4</v>
      </c>
      <c r="G2282" s="14">
        <v>2838.68</v>
      </c>
      <c r="H2282" s="13">
        <v>151</v>
      </c>
      <c r="I2282" t="s">
        <v>76</v>
      </c>
    </row>
    <row r="2283" spans="1:9" x14ac:dyDescent="0.3">
      <c r="A2283">
        <v>3621</v>
      </c>
      <c r="B2283" t="s">
        <v>396</v>
      </c>
      <c r="C2283" t="s">
        <v>133</v>
      </c>
      <c r="D2283" t="s">
        <v>64</v>
      </c>
      <c r="E2283" t="s">
        <v>1593</v>
      </c>
      <c r="F2283" s="13">
        <v>3</v>
      </c>
      <c r="G2283" s="14">
        <v>1051.3699999999999</v>
      </c>
      <c r="H2283" s="13">
        <v>151</v>
      </c>
      <c r="I2283" t="s">
        <v>76</v>
      </c>
    </row>
    <row r="2284" spans="1:9" x14ac:dyDescent="0.3">
      <c r="A2284">
        <v>3680</v>
      </c>
      <c r="B2284" t="s">
        <v>323</v>
      </c>
      <c r="C2284" t="s">
        <v>133</v>
      </c>
      <c r="D2284" t="s">
        <v>64</v>
      </c>
      <c r="E2284" t="s">
        <v>1593</v>
      </c>
      <c r="F2284" s="13">
        <v>1</v>
      </c>
      <c r="G2284" s="14">
        <v>459.75</v>
      </c>
      <c r="H2284" s="13">
        <v>151</v>
      </c>
      <c r="I2284" t="s">
        <v>76</v>
      </c>
    </row>
    <row r="2285" spans="1:9" x14ac:dyDescent="0.3">
      <c r="A2285">
        <v>3868</v>
      </c>
      <c r="B2285" t="s">
        <v>283</v>
      </c>
      <c r="C2285" t="s">
        <v>133</v>
      </c>
      <c r="D2285" t="s">
        <v>64</v>
      </c>
      <c r="E2285" t="s">
        <v>1593</v>
      </c>
      <c r="F2285" s="13">
        <v>1</v>
      </c>
      <c r="G2285" s="14">
        <v>2996.55</v>
      </c>
      <c r="H2285" s="13">
        <v>151</v>
      </c>
      <c r="I2285" t="s">
        <v>76</v>
      </c>
    </row>
    <row r="2286" spans="1:9" x14ac:dyDescent="0.3">
      <c r="A2286">
        <v>5897</v>
      </c>
      <c r="B2286" t="s">
        <v>1125</v>
      </c>
      <c r="C2286" t="s">
        <v>137</v>
      </c>
      <c r="D2286" t="s">
        <v>64</v>
      </c>
      <c r="E2286" t="s">
        <v>1593</v>
      </c>
      <c r="F2286" s="13">
        <v>1</v>
      </c>
      <c r="G2286" s="14">
        <v>610.27</v>
      </c>
      <c r="H2286" s="13">
        <v>151</v>
      </c>
      <c r="I2286" t="s">
        <v>76</v>
      </c>
    </row>
    <row r="2287" spans="1:9" x14ac:dyDescent="0.3">
      <c r="A2287">
        <v>6973</v>
      </c>
      <c r="B2287" t="s">
        <v>1596</v>
      </c>
      <c r="C2287" t="s">
        <v>97</v>
      </c>
      <c r="D2287" t="s">
        <v>65</v>
      </c>
      <c r="E2287" t="s">
        <v>1593</v>
      </c>
      <c r="F2287" s="13">
        <v>4</v>
      </c>
      <c r="G2287" s="14">
        <v>2477.5500000000002</v>
      </c>
      <c r="H2287" s="13">
        <v>151</v>
      </c>
      <c r="I2287" t="s">
        <v>76</v>
      </c>
    </row>
    <row r="2288" spans="1:9" x14ac:dyDescent="0.3">
      <c r="A2288">
        <v>8193</v>
      </c>
      <c r="B2288" t="s">
        <v>1597</v>
      </c>
      <c r="C2288" t="s">
        <v>123</v>
      </c>
      <c r="D2288" t="s">
        <v>65</v>
      </c>
      <c r="E2288" t="s">
        <v>1593</v>
      </c>
      <c r="F2288" s="13">
        <v>1</v>
      </c>
      <c r="G2288" s="14">
        <v>582.19000000000005</v>
      </c>
      <c r="H2288" s="13">
        <v>151</v>
      </c>
      <c r="I2288" t="s">
        <v>76</v>
      </c>
    </row>
    <row r="2289" spans="1:9" x14ac:dyDescent="0.3">
      <c r="A2289">
        <v>8230</v>
      </c>
      <c r="B2289" t="s">
        <v>1598</v>
      </c>
      <c r="C2289" t="s">
        <v>92</v>
      </c>
      <c r="D2289" t="s">
        <v>64</v>
      </c>
      <c r="E2289" t="s">
        <v>1593</v>
      </c>
      <c r="F2289" s="13">
        <v>3</v>
      </c>
      <c r="G2289" s="14">
        <v>11047.33</v>
      </c>
      <c r="H2289" s="13">
        <v>151</v>
      </c>
      <c r="I2289" t="s">
        <v>76</v>
      </c>
    </row>
    <row r="2290" spans="1:9" x14ac:dyDescent="0.3">
      <c r="A2290">
        <v>8250</v>
      </c>
      <c r="B2290" t="s">
        <v>1275</v>
      </c>
      <c r="C2290" t="s">
        <v>92</v>
      </c>
      <c r="D2290" t="s">
        <v>64</v>
      </c>
      <c r="E2290" t="s">
        <v>1593</v>
      </c>
      <c r="F2290" s="13">
        <v>1</v>
      </c>
      <c r="G2290" s="14">
        <v>1127.8599999999999</v>
      </c>
      <c r="H2290" s="13">
        <v>151</v>
      </c>
      <c r="I2290" t="s">
        <v>76</v>
      </c>
    </row>
    <row r="2291" spans="1:9" x14ac:dyDescent="0.3">
      <c r="A2291">
        <v>8292</v>
      </c>
      <c r="B2291" t="s">
        <v>366</v>
      </c>
      <c r="C2291" t="s">
        <v>92</v>
      </c>
      <c r="D2291" t="s">
        <v>64</v>
      </c>
      <c r="E2291" t="s">
        <v>1593</v>
      </c>
      <c r="F2291" s="13">
        <v>1</v>
      </c>
      <c r="G2291" s="14">
        <v>123.88</v>
      </c>
      <c r="H2291" s="13">
        <v>151</v>
      </c>
      <c r="I2291" t="s">
        <v>76</v>
      </c>
    </row>
    <row r="2292" spans="1:9" x14ac:dyDescent="0.3">
      <c r="A2292">
        <v>558</v>
      </c>
      <c r="B2292" t="s">
        <v>1599</v>
      </c>
      <c r="C2292" t="s">
        <v>92</v>
      </c>
      <c r="D2292" t="s">
        <v>64</v>
      </c>
      <c r="E2292" t="s">
        <v>1600</v>
      </c>
      <c r="F2292" s="13">
        <v>5</v>
      </c>
      <c r="G2292" s="14">
        <v>13477.2</v>
      </c>
      <c r="H2292" s="13">
        <v>150</v>
      </c>
      <c r="I2292" t="s">
        <v>76</v>
      </c>
    </row>
    <row r="2293" spans="1:9" x14ac:dyDescent="0.3">
      <c r="A2293">
        <v>1583</v>
      </c>
      <c r="B2293" t="s">
        <v>388</v>
      </c>
      <c r="C2293" t="s">
        <v>100</v>
      </c>
      <c r="D2293" t="s">
        <v>66</v>
      </c>
      <c r="E2293" t="s">
        <v>1600</v>
      </c>
      <c r="F2293" s="13">
        <v>1</v>
      </c>
      <c r="G2293" s="14">
        <v>328.24</v>
      </c>
      <c r="H2293" s="13">
        <v>150</v>
      </c>
      <c r="I2293" t="s">
        <v>76</v>
      </c>
    </row>
    <row r="2294" spans="1:9" x14ac:dyDescent="0.3">
      <c r="A2294">
        <v>1803</v>
      </c>
      <c r="B2294" t="s">
        <v>1484</v>
      </c>
      <c r="C2294" t="s">
        <v>103</v>
      </c>
      <c r="D2294" t="s">
        <v>67</v>
      </c>
      <c r="E2294" t="s">
        <v>1600</v>
      </c>
      <c r="F2294" s="13">
        <v>2</v>
      </c>
      <c r="G2294" s="14">
        <v>2295.0300000000002</v>
      </c>
      <c r="H2294" s="13">
        <v>150</v>
      </c>
      <c r="I2294" t="s">
        <v>76</v>
      </c>
    </row>
    <row r="2295" spans="1:9" x14ac:dyDescent="0.3">
      <c r="A2295">
        <v>2519</v>
      </c>
      <c r="B2295" t="s">
        <v>588</v>
      </c>
      <c r="C2295" t="s">
        <v>123</v>
      </c>
      <c r="D2295" t="s">
        <v>65</v>
      </c>
      <c r="E2295" t="s">
        <v>1600</v>
      </c>
      <c r="F2295" s="13">
        <v>2</v>
      </c>
      <c r="G2295" s="14">
        <v>3733.75</v>
      </c>
      <c r="H2295" s="13">
        <v>150</v>
      </c>
      <c r="I2295" t="s">
        <v>76</v>
      </c>
    </row>
    <row r="2296" spans="1:9" x14ac:dyDescent="0.3">
      <c r="A2296">
        <v>3269</v>
      </c>
      <c r="B2296" t="s">
        <v>1601</v>
      </c>
      <c r="C2296" t="s">
        <v>97</v>
      </c>
      <c r="D2296" t="s">
        <v>65</v>
      </c>
      <c r="E2296" t="s">
        <v>1600</v>
      </c>
      <c r="F2296" s="13">
        <v>4</v>
      </c>
      <c r="G2296" s="14">
        <v>9157.1</v>
      </c>
      <c r="H2296" s="13">
        <v>150</v>
      </c>
      <c r="I2296" t="s">
        <v>76</v>
      </c>
    </row>
    <row r="2297" spans="1:9" x14ac:dyDescent="0.3">
      <c r="A2297">
        <v>5650</v>
      </c>
      <c r="B2297" t="s">
        <v>1602</v>
      </c>
      <c r="C2297" t="s">
        <v>95</v>
      </c>
      <c r="D2297" t="s">
        <v>65</v>
      </c>
      <c r="E2297" t="s">
        <v>1600</v>
      </c>
      <c r="F2297" s="13">
        <v>1</v>
      </c>
      <c r="G2297" s="14">
        <v>1149.8499999999999</v>
      </c>
      <c r="H2297" s="13">
        <v>150</v>
      </c>
      <c r="I2297" t="s">
        <v>76</v>
      </c>
    </row>
    <row r="2298" spans="1:9" x14ac:dyDescent="0.3">
      <c r="A2298">
        <v>6119</v>
      </c>
      <c r="B2298" t="s">
        <v>1603</v>
      </c>
      <c r="C2298" t="s">
        <v>121</v>
      </c>
      <c r="D2298" t="s">
        <v>67</v>
      </c>
      <c r="E2298" t="s">
        <v>1600</v>
      </c>
      <c r="F2298" s="13">
        <v>2</v>
      </c>
      <c r="G2298" s="14">
        <v>3879.67</v>
      </c>
      <c r="H2298" s="13">
        <v>150</v>
      </c>
      <c r="I2298" t="s">
        <v>76</v>
      </c>
    </row>
    <row r="2299" spans="1:9" x14ac:dyDescent="0.3">
      <c r="A2299">
        <v>6269</v>
      </c>
      <c r="B2299" t="s">
        <v>1142</v>
      </c>
      <c r="C2299" t="s">
        <v>137</v>
      </c>
      <c r="D2299" t="s">
        <v>64</v>
      </c>
      <c r="E2299" t="s">
        <v>1600</v>
      </c>
      <c r="F2299" s="13">
        <v>1</v>
      </c>
      <c r="G2299" s="14">
        <v>7438.73</v>
      </c>
      <c r="H2299" s="13">
        <v>150</v>
      </c>
      <c r="I2299" t="s">
        <v>76</v>
      </c>
    </row>
    <row r="2300" spans="1:9" x14ac:dyDescent="0.3">
      <c r="A2300">
        <v>7871</v>
      </c>
      <c r="B2300" t="s">
        <v>208</v>
      </c>
      <c r="C2300" t="s">
        <v>103</v>
      </c>
      <c r="D2300" t="s">
        <v>67</v>
      </c>
      <c r="E2300" t="s">
        <v>1600</v>
      </c>
      <c r="F2300" s="13">
        <v>1</v>
      </c>
      <c r="G2300" s="14">
        <v>1892.72</v>
      </c>
      <c r="H2300" s="13">
        <v>150</v>
      </c>
      <c r="I2300" t="s">
        <v>76</v>
      </c>
    </row>
    <row r="2301" spans="1:9" x14ac:dyDescent="0.3">
      <c r="A2301">
        <v>8468</v>
      </c>
      <c r="B2301" t="s">
        <v>1604</v>
      </c>
      <c r="C2301" t="s">
        <v>137</v>
      </c>
      <c r="D2301" t="s">
        <v>64</v>
      </c>
      <c r="E2301" t="s">
        <v>1600</v>
      </c>
      <c r="F2301" s="13">
        <v>3</v>
      </c>
      <c r="G2301" s="14">
        <v>1805.1</v>
      </c>
      <c r="H2301" s="13">
        <v>150</v>
      </c>
      <c r="I2301" t="s">
        <v>76</v>
      </c>
    </row>
    <row r="2302" spans="1:9" x14ac:dyDescent="0.3">
      <c r="A2302">
        <v>8674</v>
      </c>
      <c r="B2302" t="s">
        <v>1605</v>
      </c>
      <c r="C2302" t="s">
        <v>92</v>
      </c>
      <c r="D2302" t="s">
        <v>64</v>
      </c>
      <c r="E2302" t="s">
        <v>1600</v>
      </c>
      <c r="F2302" s="13">
        <v>3</v>
      </c>
      <c r="G2302" s="14">
        <v>6116.66</v>
      </c>
      <c r="H2302" s="13">
        <v>150</v>
      </c>
      <c r="I2302" t="s">
        <v>76</v>
      </c>
    </row>
    <row r="2303" spans="1:9" x14ac:dyDescent="0.3">
      <c r="A2303">
        <v>31</v>
      </c>
      <c r="B2303" t="s">
        <v>1606</v>
      </c>
      <c r="C2303" t="s">
        <v>92</v>
      </c>
      <c r="D2303" t="s">
        <v>64</v>
      </c>
      <c r="E2303" t="s">
        <v>1607</v>
      </c>
      <c r="F2303" s="13">
        <v>2</v>
      </c>
      <c r="G2303" s="14">
        <v>2356.52</v>
      </c>
      <c r="H2303" s="13">
        <v>149</v>
      </c>
      <c r="I2303" t="s">
        <v>76</v>
      </c>
    </row>
    <row r="2304" spans="1:9" x14ac:dyDescent="0.3">
      <c r="A2304">
        <v>333</v>
      </c>
      <c r="B2304" t="s">
        <v>1608</v>
      </c>
      <c r="C2304" t="s">
        <v>92</v>
      </c>
      <c r="D2304" t="s">
        <v>64</v>
      </c>
      <c r="E2304" t="s">
        <v>1607</v>
      </c>
      <c r="F2304" s="13">
        <v>1</v>
      </c>
      <c r="G2304" s="14">
        <v>20624.62</v>
      </c>
      <c r="H2304" s="13">
        <v>149</v>
      </c>
      <c r="I2304" t="s">
        <v>76</v>
      </c>
    </row>
    <row r="2305" spans="1:9" x14ac:dyDescent="0.3">
      <c r="A2305">
        <v>637</v>
      </c>
      <c r="B2305" t="s">
        <v>694</v>
      </c>
      <c r="C2305" t="s">
        <v>92</v>
      </c>
      <c r="D2305" t="s">
        <v>64</v>
      </c>
      <c r="E2305" t="s">
        <v>1607</v>
      </c>
      <c r="F2305" s="13">
        <v>3</v>
      </c>
      <c r="G2305" s="14">
        <v>9298.6</v>
      </c>
      <c r="H2305" s="13">
        <v>149</v>
      </c>
      <c r="I2305" t="s">
        <v>76</v>
      </c>
    </row>
    <row r="2306" spans="1:9" x14ac:dyDescent="0.3">
      <c r="A2306">
        <v>860</v>
      </c>
      <c r="B2306" t="s">
        <v>1303</v>
      </c>
      <c r="C2306" t="s">
        <v>92</v>
      </c>
      <c r="D2306" t="s">
        <v>64</v>
      </c>
      <c r="E2306" t="s">
        <v>1607</v>
      </c>
      <c r="F2306" s="13">
        <v>1</v>
      </c>
      <c r="G2306" s="14">
        <v>343.77</v>
      </c>
      <c r="H2306" s="13">
        <v>149</v>
      </c>
      <c r="I2306" t="s">
        <v>76</v>
      </c>
    </row>
    <row r="2307" spans="1:9" x14ac:dyDescent="0.3">
      <c r="A2307">
        <v>886</v>
      </c>
      <c r="B2307" t="s">
        <v>414</v>
      </c>
      <c r="C2307" t="s">
        <v>87</v>
      </c>
      <c r="D2307" t="s">
        <v>64</v>
      </c>
      <c r="E2307" t="s">
        <v>1607</v>
      </c>
      <c r="F2307" s="13">
        <v>2</v>
      </c>
      <c r="G2307" s="14">
        <v>694.9</v>
      </c>
      <c r="H2307" s="13">
        <v>149</v>
      </c>
      <c r="I2307" t="s">
        <v>76</v>
      </c>
    </row>
    <row r="2308" spans="1:9" x14ac:dyDescent="0.3">
      <c r="A2308">
        <v>2255</v>
      </c>
      <c r="B2308" t="s">
        <v>636</v>
      </c>
      <c r="C2308" t="s">
        <v>137</v>
      </c>
      <c r="D2308" t="s">
        <v>64</v>
      </c>
      <c r="E2308" t="s">
        <v>1607</v>
      </c>
      <c r="F2308" s="13">
        <v>2</v>
      </c>
      <c r="G2308" s="14">
        <v>533.22</v>
      </c>
      <c r="H2308" s="13">
        <v>149</v>
      </c>
      <c r="I2308" t="s">
        <v>76</v>
      </c>
    </row>
    <row r="2309" spans="1:9" x14ac:dyDescent="0.3">
      <c r="A2309">
        <v>2921</v>
      </c>
      <c r="B2309" t="s">
        <v>149</v>
      </c>
      <c r="C2309" t="s">
        <v>103</v>
      </c>
      <c r="D2309" t="s">
        <v>67</v>
      </c>
      <c r="E2309" t="s">
        <v>1607</v>
      </c>
      <c r="F2309" s="13">
        <v>4</v>
      </c>
      <c r="G2309" s="14">
        <v>4008.44</v>
      </c>
      <c r="H2309" s="13">
        <v>149</v>
      </c>
      <c r="I2309" t="s">
        <v>76</v>
      </c>
    </row>
    <row r="2310" spans="1:9" x14ac:dyDescent="0.3">
      <c r="A2310">
        <v>2931</v>
      </c>
      <c r="B2310" t="s">
        <v>1609</v>
      </c>
      <c r="C2310" t="s">
        <v>123</v>
      </c>
      <c r="D2310" t="s">
        <v>65</v>
      </c>
      <c r="E2310" t="s">
        <v>1607</v>
      </c>
      <c r="F2310" s="13">
        <v>2</v>
      </c>
      <c r="G2310" s="14">
        <v>4041.85</v>
      </c>
      <c r="H2310" s="13">
        <v>149</v>
      </c>
      <c r="I2310" t="s">
        <v>76</v>
      </c>
    </row>
    <row r="2311" spans="1:9" x14ac:dyDescent="0.3">
      <c r="A2311">
        <v>3676</v>
      </c>
      <c r="B2311" t="s">
        <v>404</v>
      </c>
      <c r="C2311" t="s">
        <v>97</v>
      </c>
      <c r="D2311" t="s">
        <v>65</v>
      </c>
      <c r="E2311" t="s">
        <v>1607</v>
      </c>
      <c r="F2311" s="13">
        <v>1</v>
      </c>
      <c r="G2311" s="14">
        <v>399</v>
      </c>
      <c r="H2311" s="13">
        <v>149</v>
      </c>
      <c r="I2311" t="s">
        <v>76</v>
      </c>
    </row>
    <row r="2312" spans="1:9" x14ac:dyDescent="0.3">
      <c r="A2312">
        <v>5988</v>
      </c>
      <c r="B2312" t="s">
        <v>606</v>
      </c>
      <c r="C2312" t="s">
        <v>137</v>
      </c>
      <c r="D2312" t="s">
        <v>64</v>
      </c>
      <c r="E2312" t="s">
        <v>1607</v>
      </c>
      <c r="F2312" s="13">
        <v>2</v>
      </c>
      <c r="G2312" s="14">
        <v>4267.33</v>
      </c>
      <c r="H2312" s="13">
        <v>149</v>
      </c>
      <c r="I2312" t="s">
        <v>76</v>
      </c>
    </row>
    <row r="2313" spans="1:9" x14ac:dyDescent="0.3">
      <c r="A2313">
        <v>7288</v>
      </c>
      <c r="B2313" t="s">
        <v>645</v>
      </c>
      <c r="C2313" t="s">
        <v>249</v>
      </c>
      <c r="D2313" t="s">
        <v>67</v>
      </c>
      <c r="E2313" t="s">
        <v>1607</v>
      </c>
      <c r="F2313" s="13">
        <v>1</v>
      </c>
      <c r="G2313" s="14">
        <v>1064.97</v>
      </c>
      <c r="H2313" s="13">
        <v>149</v>
      </c>
      <c r="I2313" t="s">
        <v>76</v>
      </c>
    </row>
    <row r="2314" spans="1:9" x14ac:dyDescent="0.3">
      <c r="A2314">
        <v>7553</v>
      </c>
      <c r="B2314" t="s">
        <v>240</v>
      </c>
      <c r="C2314" t="s">
        <v>92</v>
      </c>
      <c r="D2314" t="s">
        <v>64</v>
      </c>
      <c r="E2314" t="s">
        <v>1607</v>
      </c>
      <c r="F2314" s="13">
        <v>3</v>
      </c>
      <c r="G2314" s="14">
        <v>8133.98</v>
      </c>
      <c r="H2314" s="13">
        <v>149</v>
      </c>
      <c r="I2314" t="s">
        <v>76</v>
      </c>
    </row>
    <row r="2315" spans="1:9" x14ac:dyDescent="0.3">
      <c r="A2315">
        <v>7862</v>
      </c>
      <c r="B2315" t="s">
        <v>1610</v>
      </c>
      <c r="C2315" t="s">
        <v>121</v>
      </c>
      <c r="D2315" t="s">
        <v>67</v>
      </c>
      <c r="E2315" t="s">
        <v>1607</v>
      </c>
      <c r="F2315" s="13">
        <v>1</v>
      </c>
      <c r="G2315" s="14">
        <v>741.91</v>
      </c>
      <c r="H2315" s="13">
        <v>149</v>
      </c>
      <c r="I2315" t="s">
        <v>76</v>
      </c>
    </row>
    <row r="2316" spans="1:9" x14ac:dyDescent="0.3">
      <c r="A2316">
        <v>7969</v>
      </c>
      <c r="B2316" t="s">
        <v>494</v>
      </c>
      <c r="C2316" t="s">
        <v>97</v>
      </c>
      <c r="D2316" t="s">
        <v>65</v>
      </c>
      <c r="E2316" t="s">
        <v>1607</v>
      </c>
      <c r="F2316" s="13">
        <v>1</v>
      </c>
      <c r="G2316" s="14">
        <v>202.15</v>
      </c>
      <c r="H2316" s="13">
        <v>149</v>
      </c>
      <c r="I2316" t="s">
        <v>76</v>
      </c>
    </row>
    <row r="2317" spans="1:9" x14ac:dyDescent="0.3">
      <c r="A2317">
        <v>311</v>
      </c>
      <c r="B2317" t="s">
        <v>505</v>
      </c>
      <c r="C2317" t="s">
        <v>123</v>
      </c>
      <c r="D2317" t="s">
        <v>65</v>
      </c>
      <c r="E2317" t="s">
        <v>1611</v>
      </c>
      <c r="F2317" s="13">
        <v>1</v>
      </c>
      <c r="G2317" s="14">
        <v>1270.2</v>
      </c>
      <c r="H2317" s="13">
        <v>148</v>
      </c>
      <c r="I2317" t="s">
        <v>76</v>
      </c>
    </row>
    <row r="2318" spans="1:9" x14ac:dyDescent="0.3">
      <c r="A2318">
        <v>377</v>
      </c>
      <c r="B2318" t="s">
        <v>274</v>
      </c>
      <c r="C2318" t="s">
        <v>92</v>
      </c>
      <c r="D2318" t="s">
        <v>64</v>
      </c>
      <c r="E2318" t="s">
        <v>1611</v>
      </c>
      <c r="F2318" s="13">
        <v>2</v>
      </c>
      <c r="G2318" s="14">
        <v>5972.54</v>
      </c>
      <c r="H2318" s="13">
        <v>148</v>
      </c>
      <c r="I2318" t="s">
        <v>76</v>
      </c>
    </row>
    <row r="2319" spans="1:9" x14ac:dyDescent="0.3">
      <c r="A2319">
        <v>995</v>
      </c>
      <c r="B2319" t="s">
        <v>135</v>
      </c>
      <c r="C2319" t="s">
        <v>133</v>
      </c>
      <c r="D2319" t="s">
        <v>64</v>
      </c>
      <c r="E2319" t="s">
        <v>1611</v>
      </c>
      <c r="F2319" s="13">
        <v>5</v>
      </c>
      <c r="G2319" s="14">
        <v>16421.650000000001</v>
      </c>
      <c r="H2319" s="13">
        <v>148</v>
      </c>
      <c r="I2319" t="s">
        <v>76</v>
      </c>
    </row>
    <row r="2320" spans="1:9" x14ac:dyDescent="0.3">
      <c r="A2320">
        <v>1104</v>
      </c>
      <c r="B2320" t="s">
        <v>756</v>
      </c>
      <c r="C2320" t="s">
        <v>90</v>
      </c>
      <c r="D2320" t="s">
        <v>66</v>
      </c>
      <c r="E2320" t="s">
        <v>1611</v>
      </c>
      <c r="F2320" s="13">
        <v>4</v>
      </c>
      <c r="G2320" s="14">
        <v>6493.72</v>
      </c>
      <c r="H2320" s="13">
        <v>148</v>
      </c>
      <c r="I2320" t="s">
        <v>76</v>
      </c>
    </row>
    <row r="2321" spans="1:9" x14ac:dyDescent="0.3">
      <c r="A2321">
        <v>1329</v>
      </c>
      <c r="B2321" t="s">
        <v>1612</v>
      </c>
      <c r="C2321" t="s">
        <v>92</v>
      </c>
      <c r="D2321" t="s">
        <v>64</v>
      </c>
      <c r="E2321" t="s">
        <v>1611</v>
      </c>
      <c r="F2321" s="13">
        <v>4</v>
      </c>
      <c r="G2321" s="14">
        <v>4898.3</v>
      </c>
      <c r="H2321" s="13">
        <v>148</v>
      </c>
      <c r="I2321" t="s">
        <v>76</v>
      </c>
    </row>
    <row r="2322" spans="1:9" x14ac:dyDescent="0.3">
      <c r="A2322">
        <v>3869</v>
      </c>
      <c r="B2322" t="s">
        <v>240</v>
      </c>
      <c r="C2322" t="s">
        <v>133</v>
      </c>
      <c r="D2322" t="s">
        <v>64</v>
      </c>
      <c r="E2322" t="s">
        <v>1611</v>
      </c>
      <c r="F2322" s="13">
        <v>3</v>
      </c>
      <c r="G2322" s="14">
        <v>21656.73</v>
      </c>
      <c r="H2322" s="13">
        <v>148</v>
      </c>
      <c r="I2322" t="s">
        <v>76</v>
      </c>
    </row>
    <row r="2323" spans="1:9" x14ac:dyDescent="0.3">
      <c r="A2323">
        <v>4209</v>
      </c>
      <c r="B2323" t="s">
        <v>622</v>
      </c>
      <c r="C2323" t="s">
        <v>95</v>
      </c>
      <c r="D2323" t="s">
        <v>65</v>
      </c>
      <c r="E2323" t="s">
        <v>1611</v>
      </c>
      <c r="F2323" s="13">
        <v>1</v>
      </c>
      <c r="G2323" s="14">
        <v>5428.02</v>
      </c>
      <c r="H2323" s="13">
        <v>148</v>
      </c>
      <c r="I2323" t="s">
        <v>76</v>
      </c>
    </row>
    <row r="2324" spans="1:9" x14ac:dyDescent="0.3">
      <c r="A2324">
        <v>5263</v>
      </c>
      <c r="B2324" t="s">
        <v>259</v>
      </c>
      <c r="C2324" t="s">
        <v>95</v>
      </c>
      <c r="D2324" t="s">
        <v>65</v>
      </c>
      <c r="E2324" t="s">
        <v>1611</v>
      </c>
      <c r="F2324" s="13">
        <v>2</v>
      </c>
      <c r="G2324" s="14">
        <v>4325.96</v>
      </c>
      <c r="H2324" s="13">
        <v>148</v>
      </c>
      <c r="I2324" t="s">
        <v>76</v>
      </c>
    </row>
    <row r="2325" spans="1:9" x14ac:dyDescent="0.3">
      <c r="A2325">
        <v>5707</v>
      </c>
      <c r="B2325" t="s">
        <v>1613</v>
      </c>
      <c r="C2325" t="s">
        <v>137</v>
      </c>
      <c r="D2325" t="s">
        <v>64</v>
      </c>
      <c r="E2325" t="s">
        <v>1611</v>
      </c>
      <c r="F2325" s="13">
        <v>1</v>
      </c>
      <c r="G2325" s="14">
        <v>489.99</v>
      </c>
      <c r="H2325" s="13">
        <v>148</v>
      </c>
      <c r="I2325" t="s">
        <v>76</v>
      </c>
    </row>
    <row r="2326" spans="1:9" x14ac:dyDescent="0.3">
      <c r="A2326">
        <v>8047</v>
      </c>
      <c r="B2326" t="s">
        <v>1614</v>
      </c>
      <c r="C2326" t="s">
        <v>92</v>
      </c>
      <c r="D2326" t="s">
        <v>64</v>
      </c>
      <c r="E2326" t="s">
        <v>1611</v>
      </c>
      <c r="F2326" s="13">
        <v>4</v>
      </c>
      <c r="G2326" s="14">
        <v>3341.69</v>
      </c>
      <c r="H2326" s="13">
        <v>148</v>
      </c>
      <c r="I2326" t="s">
        <v>76</v>
      </c>
    </row>
    <row r="2327" spans="1:9" x14ac:dyDescent="0.3">
      <c r="A2327">
        <v>8122</v>
      </c>
      <c r="B2327" t="s">
        <v>1159</v>
      </c>
      <c r="C2327" t="s">
        <v>103</v>
      </c>
      <c r="D2327" t="s">
        <v>67</v>
      </c>
      <c r="E2327" t="s">
        <v>1611</v>
      </c>
      <c r="F2327" s="13">
        <v>6</v>
      </c>
      <c r="G2327" s="14">
        <v>13491.84</v>
      </c>
      <c r="H2327" s="13">
        <v>148</v>
      </c>
      <c r="I2327" t="s">
        <v>76</v>
      </c>
    </row>
    <row r="2328" spans="1:9" x14ac:dyDescent="0.3">
      <c r="A2328">
        <v>8395</v>
      </c>
      <c r="B2328" t="s">
        <v>1615</v>
      </c>
      <c r="C2328" t="s">
        <v>123</v>
      </c>
      <c r="D2328" t="s">
        <v>65</v>
      </c>
      <c r="E2328" t="s">
        <v>1611</v>
      </c>
      <c r="F2328" s="13">
        <v>1</v>
      </c>
      <c r="G2328" s="14">
        <v>219.18</v>
      </c>
      <c r="H2328" s="13">
        <v>148</v>
      </c>
      <c r="I2328" t="s">
        <v>76</v>
      </c>
    </row>
    <row r="2329" spans="1:9" x14ac:dyDescent="0.3">
      <c r="A2329">
        <v>1117</v>
      </c>
      <c r="B2329" t="s">
        <v>606</v>
      </c>
      <c r="C2329" t="s">
        <v>133</v>
      </c>
      <c r="D2329" t="s">
        <v>64</v>
      </c>
      <c r="E2329" t="s">
        <v>1616</v>
      </c>
      <c r="F2329" s="13">
        <v>3</v>
      </c>
      <c r="G2329" s="14">
        <v>9648.83</v>
      </c>
      <c r="H2329" s="13">
        <v>147</v>
      </c>
      <c r="I2329" t="s">
        <v>76</v>
      </c>
    </row>
    <row r="2330" spans="1:9" x14ac:dyDescent="0.3">
      <c r="A2330">
        <v>2488</v>
      </c>
      <c r="B2330" t="s">
        <v>1012</v>
      </c>
      <c r="C2330" t="s">
        <v>90</v>
      </c>
      <c r="D2330" t="s">
        <v>66</v>
      </c>
      <c r="E2330" t="s">
        <v>1616</v>
      </c>
      <c r="F2330" s="13">
        <v>4</v>
      </c>
      <c r="G2330" s="14">
        <v>6867.64</v>
      </c>
      <c r="H2330" s="13">
        <v>147</v>
      </c>
      <c r="I2330" t="s">
        <v>76</v>
      </c>
    </row>
    <row r="2331" spans="1:9" x14ac:dyDescent="0.3">
      <c r="A2331">
        <v>3336</v>
      </c>
      <c r="B2331" t="s">
        <v>704</v>
      </c>
      <c r="C2331" t="s">
        <v>123</v>
      </c>
      <c r="D2331" t="s">
        <v>65</v>
      </c>
      <c r="E2331" t="s">
        <v>1616</v>
      </c>
      <c r="F2331" s="13">
        <v>5</v>
      </c>
      <c r="G2331" s="14">
        <v>13372.59</v>
      </c>
      <c r="H2331" s="13">
        <v>147</v>
      </c>
      <c r="I2331" t="s">
        <v>76</v>
      </c>
    </row>
    <row r="2332" spans="1:9" x14ac:dyDescent="0.3">
      <c r="A2332">
        <v>3402</v>
      </c>
      <c r="B2332" t="s">
        <v>342</v>
      </c>
      <c r="C2332" t="s">
        <v>123</v>
      </c>
      <c r="D2332" t="s">
        <v>65</v>
      </c>
      <c r="E2332" t="s">
        <v>1616</v>
      </c>
      <c r="F2332" s="13">
        <v>3</v>
      </c>
      <c r="G2332" s="14">
        <v>9033.48</v>
      </c>
      <c r="H2332" s="13">
        <v>147</v>
      </c>
      <c r="I2332" t="s">
        <v>76</v>
      </c>
    </row>
    <row r="2333" spans="1:9" x14ac:dyDescent="0.3">
      <c r="A2333">
        <v>3767</v>
      </c>
      <c r="B2333" t="s">
        <v>386</v>
      </c>
      <c r="C2333" t="s">
        <v>92</v>
      </c>
      <c r="D2333" t="s">
        <v>64</v>
      </c>
      <c r="E2333" t="s">
        <v>1616</v>
      </c>
      <c r="F2333" s="13">
        <v>1</v>
      </c>
      <c r="G2333" s="14">
        <v>121.11</v>
      </c>
      <c r="H2333" s="13">
        <v>147</v>
      </c>
      <c r="I2333" t="s">
        <v>76</v>
      </c>
    </row>
    <row r="2334" spans="1:9" x14ac:dyDescent="0.3">
      <c r="A2334">
        <v>4347</v>
      </c>
      <c r="B2334" t="s">
        <v>1617</v>
      </c>
      <c r="C2334" t="s">
        <v>123</v>
      </c>
      <c r="D2334" t="s">
        <v>65</v>
      </c>
      <c r="E2334" t="s">
        <v>1616</v>
      </c>
      <c r="F2334" s="13">
        <v>2</v>
      </c>
      <c r="G2334" s="14">
        <v>1814.21</v>
      </c>
      <c r="H2334" s="13">
        <v>147</v>
      </c>
      <c r="I2334" t="s">
        <v>76</v>
      </c>
    </row>
    <row r="2335" spans="1:9" x14ac:dyDescent="0.3">
      <c r="A2335">
        <v>5010</v>
      </c>
      <c r="B2335" t="s">
        <v>751</v>
      </c>
      <c r="C2335" t="s">
        <v>90</v>
      </c>
      <c r="D2335" t="s">
        <v>66</v>
      </c>
      <c r="E2335" t="s">
        <v>1616</v>
      </c>
      <c r="F2335" s="13">
        <v>4</v>
      </c>
      <c r="G2335" s="14">
        <v>8700.58</v>
      </c>
      <c r="H2335" s="13">
        <v>147</v>
      </c>
      <c r="I2335" t="s">
        <v>76</v>
      </c>
    </row>
    <row r="2336" spans="1:9" x14ac:dyDescent="0.3">
      <c r="A2336">
        <v>5012</v>
      </c>
      <c r="B2336" t="s">
        <v>824</v>
      </c>
      <c r="C2336" t="s">
        <v>137</v>
      </c>
      <c r="D2336" t="s">
        <v>64</v>
      </c>
      <c r="E2336" t="s">
        <v>1616</v>
      </c>
      <c r="F2336" s="13">
        <v>1</v>
      </c>
      <c r="G2336" s="14">
        <v>2862.95</v>
      </c>
      <c r="H2336" s="13">
        <v>147</v>
      </c>
      <c r="I2336" t="s">
        <v>76</v>
      </c>
    </row>
    <row r="2337" spans="1:9" x14ac:dyDescent="0.3">
      <c r="A2337">
        <v>5042</v>
      </c>
      <c r="B2337" t="s">
        <v>1473</v>
      </c>
      <c r="C2337" t="s">
        <v>95</v>
      </c>
      <c r="D2337" t="s">
        <v>65</v>
      </c>
      <c r="E2337" t="s">
        <v>1616</v>
      </c>
      <c r="F2337" s="13">
        <v>6</v>
      </c>
      <c r="G2337" s="14">
        <v>12215.55</v>
      </c>
      <c r="H2337" s="13">
        <v>147</v>
      </c>
      <c r="I2337" t="s">
        <v>76</v>
      </c>
    </row>
    <row r="2338" spans="1:9" x14ac:dyDescent="0.3">
      <c r="A2338">
        <v>5191</v>
      </c>
      <c r="B2338" t="s">
        <v>1618</v>
      </c>
      <c r="C2338" t="s">
        <v>121</v>
      </c>
      <c r="D2338" t="s">
        <v>67</v>
      </c>
      <c r="E2338" t="s">
        <v>1616</v>
      </c>
      <c r="F2338" s="13">
        <v>3</v>
      </c>
      <c r="G2338" s="14">
        <v>3738.25</v>
      </c>
      <c r="H2338" s="13">
        <v>147</v>
      </c>
      <c r="I2338" t="s">
        <v>76</v>
      </c>
    </row>
    <row r="2339" spans="1:9" x14ac:dyDescent="0.3">
      <c r="A2339">
        <v>5425</v>
      </c>
      <c r="B2339" t="s">
        <v>1619</v>
      </c>
      <c r="C2339" t="s">
        <v>133</v>
      </c>
      <c r="D2339" t="s">
        <v>64</v>
      </c>
      <c r="E2339" t="s">
        <v>1616</v>
      </c>
      <c r="F2339" s="13">
        <v>1</v>
      </c>
      <c r="G2339" s="14">
        <v>370.92</v>
      </c>
      <c r="H2339" s="13">
        <v>147</v>
      </c>
      <c r="I2339" t="s">
        <v>76</v>
      </c>
    </row>
    <row r="2340" spans="1:9" x14ac:dyDescent="0.3">
      <c r="A2340">
        <v>5882</v>
      </c>
      <c r="B2340" t="s">
        <v>113</v>
      </c>
      <c r="C2340" t="s">
        <v>92</v>
      </c>
      <c r="D2340" t="s">
        <v>64</v>
      </c>
      <c r="E2340" t="s">
        <v>1616</v>
      </c>
      <c r="F2340" s="13">
        <v>2</v>
      </c>
      <c r="G2340" s="14">
        <v>4109.07</v>
      </c>
      <c r="H2340" s="13">
        <v>147</v>
      </c>
      <c r="I2340" t="s">
        <v>76</v>
      </c>
    </row>
    <row r="2341" spans="1:9" x14ac:dyDescent="0.3">
      <c r="A2341">
        <v>6029</v>
      </c>
      <c r="B2341" t="s">
        <v>1240</v>
      </c>
      <c r="C2341" t="s">
        <v>133</v>
      </c>
      <c r="D2341" t="s">
        <v>64</v>
      </c>
      <c r="E2341" t="s">
        <v>1616</v>
      </c>
      <c r="F2341" s="13">
        <v>2</v>
      </c>
      <c r="G2341" s="14">
        <v>3935.23</v>
      </c>
      <c r="H2341" s="13">
        <v>147</v>
      </c>
      <c r="I2341" t="s">
        <v>76</v>
      </c>
    </row>
    <row r="2342" spans="1:9" x14ac:dyDescent="0.3">
      <c r="A2342">
        <v>6143</v>
      </c>
      <c r="B2342" t="s">
        <v>1620</v>
      </c>
      <c r="C2342" t="s">
        <v>137</v>
      </c>
      <c r="D2342" t="s">
        <v>64</v>
      </c>
      <c r="E2342" t="s">
        <v>1616</v>
      </c>
      <c r="F2342" s="13">
        <v>2</v>
      </c>
      <c r="G2342" s="14">
        <v>4488.5200000000004</v>
      </c>
      <c r="H2342" s="13">
        <v>147</v>
      </c>
      <c r="I2342" t="s">
        <v>76</v>
      </c>
    </row>
    <row r="2343" spans="1:9" x14ac:dyDescent="0.3">
      <c r="A2343">
        <v>6623</v>
      </c>
      <c r="B2343" t="s">
        <v>208</v>
      </c>
      <c r="C2343" t="s">
        <v>473</v>
      </c>
      <c r="D2343" t="s">
        <v>68</v>
      </c>
      <c r="E2343" t="s">
        <v>1616</v>
      </c>
      <c r="F2343" s="13">
        <v>1</v>
      </c>
      <c r="G2343" s="14">
        <v>123.8</v>
      </c>
      <c r="H2343" s="13">
        <v>147</v>
      </c>
      <c r="I2343" t="s">
        <v>76</v>
      </c>
    </row>
    <row r="2344" spans="1:9" x14ac:dyDescent="0.3">
      <c r="A2344">
        <v>6632</v>
      </c>
      <c r="B2344" t="s">
        <v>1621</v>
      </c>
      <c r="C2344" t="s">
        <v>137</v>
      </c>
      <c r="D2344" t="s">
        <v>64</v>
      </c>
      <c r="E2344" t="s">
        <v>1616</v>
      </c>
      <c r="F2344" s="13">
        <v>1</v>
      </c>
      <c r="G2344" s="14">
        <v>2034.07</v>
      </c>
      <c r="H2344" s="13">
        <v>147</v>
      </c>
      <c r="I2344" t="s">
        <v>76</v>
      </c>
    </row>
    <row r="2345" spans="1:9" x14ac:dyDescent="0.3">
      <c r="A2345">
        <v>6935</v>
      </c>
      <c r="B2345" t="s">
        <v>386</v>
      </c>
      <c r="C2345" t="s">
        <v>92</v>
      </c>
      <c r="D2345" t="s">
        <v>64</v>
      </c>
      <c r="E2345" t="s">
        <v>1616</v>
      </c>
      <c r="F2345" s="13">
        <v>6</v>
      </c>
      <c r="G2345" s="14">
        <v>5286.54</v>
      </c>
      <c r="H2345" s="13">
        <v>147</v>
      </c>
      <c r="I2345" t="s">
        <v>76</v>
      </c>
    </row>
    <row r="2346" spans="1:9" x14ac:dyDescent="0.3">
      <c r="A2346">
        <v>8708</v>
      </c>
      <c r="B2346" t="s">
        <v>1622</v>
      </c>
      <c r="C2346" t="s">
        <v>87</v>
      </c>
      <c r="D2346" t="s">
        <v>64</v>
      </c>
      <c r="E2346" t="s">
        <v>1616</v>
      </c>
      <c r="F2346" s="13">
        <v>2</v>
      </c>
      <c r="G2346" s="14">
        <v>373.2</v>
      </c>
      <c r="H2346" s="13">
        <v>147</v>
      </c>
      <c r="I2346" t="s">
        <v>76</v>
      </c>
    </row>
    <row r="2347" spans="1:9" x14ac:dyDescent="0.3">
      <c r="A2347">
        <v>405</v>
      </c>
      <c r="B2347" t="s">
        <v>1623</v>
      </c>
      <c r="C2347" t="s">
        <v>90</v>
      </c>
      <c r="D2347" t="s">
        <v>66</v>
      </c>
      <c r="E2347" t="s">
        <v>1624</v>
      </c>
      <c r="F2347" s="13">
        <v>1</v>
      </c>
      <c r="G2347" s="14">
        <v>250.85</v>
      </c>
      <c r="H2347" s="13">
        <v>146</v>
      </c>
      <c r="I2347" t="s">
        <v>76</v>
      </c>
    </row>
    <row r="2348" spans="1:9" x14ac:dyDescent="0.3">
      <c r="A2348">
        <v>502</v>
      </c>
      <c r="B2348" t="s">
        <v>208</v>
      </c>
      <c r="C2348" t="s">
        <v>123</v>
      </c>
      <c r="D2348" t="s">
        <v>65</v>
      </c>
      <c r="E2348" t="s">
        <v>1624</v>
      </c>
      <c r="F2348" s="13">
        <v>1</v>
      </c>
      <c r="G2348" s="14">
        <v>4091.43</v>
      </c>
      <c r="H2348" s="13">
        <v>146</v>
      </c>
      <c r="I2348" t="s">
        <v>76</v>
      </c>
    </row>
    <row r="2349" spans="1:9" x14ac:dyDescent="0.3">
      <c r="A2349">
        <v>1904</v>
      </c>
      <c r="B2349" t="s">
        <v>1085</v>
      </c>
      <c r="C2349" t="s">
        <v>137</v>
      </c>
      <c r="D2349" t="s">
        <v>64</v>
      </c>
      <c r="E2349" t="s">
        <v>1624</v>
      </c>
      <c r="F2349" s="13">
        <v>1</v>
      </c>
      <c r="G2349" s="14">
        <v>104.59</v>
      </c>
      <c r="H2349" s="13">
        <v>146</v>
      </c>
      <c r="I2349" t="s">
        <v>76</v>
      </c>
    </row>
    <row r="2350" spans="1:9" x14ac:dyDescent="0.3">
      <c r="A2350">
        <v>2215</v>
      </c>
      <c r="B2350" t="s">
        <v>138</v>
      </c>
      <c r="C2350" t="s">
        <v>114</v>
      </c>
      <c r="D2350" t="s">
        <v>66</v>
      </c>
      <c r="E2350" t="s">
        <v>1624</v>
      </c>
      <c r="F2350" s="13">
        <v>2</v>
      </c>
      <c r="G2350" s="14">
        <v>2131.7600000000002</v>
      </c>
      <c r="H2350" s="13">
        <v>146</v>
      </c>
      <c r="I2350" t="s">
        <v>76</v>
      </c>
    </row>
    <row r="2351" spans="1:9" x14ac:dyDescent="0.3">
      <c r="A2351">
        <v>3079</v>
      </c>
      <c r="B2351" t="s">
        <v>1625</v>
      </c>
      <c r="C2351" t="s">
        <v>92</v>
      </c>
      <c r="D2351" t="s">
        <v>64</v>
      </c>
      <c r="E2351" t="s">
        <v>1624</v>
      </c>
      <c r="F2351" s="13">
        <v>1</v>
      </c>
      <c r="G2351" s="14">
        <v>1419.65</v>
      </c>
      <c r="H2351" s="13">
        <v>146</v>
      </c>
      <c r="I2351" t="s">
        <v>76</v>
      </c>
    </row>
    <row r="2352" spans="1:9" x14ac:dyDescent="0.3">
      <c r="A2352">
        <v>3351</v>
      </c>
      <c r="B2352" t="s">
        <v>1626</v>
      </c>
      <c r="C2352" t="s">
        <v>92</v>
      </c>
      <c r="D2352" t="s">
        <v>64</v>
      </c>
      <c r="E2352" t="s">
        <v>1624</v>
      </c>
      <c r="F2352" s="13">
        <v>3</v>
      </c>
      <c r="G2352" s="14">
        <v>1676.45</v>
      </c>
      <c r="H2352" s="13">
        <v>146</v>
      </c>
      <c r="I2352" t="s">
        <v>76</v>
      </c>
    </row>
    <row r="2353" spans="1:9" x14ac:dyDescent="0.3">
      <c r="A2353">
        <v>6507</v>
      </c>
      <c r="B2353" t="s">
        <v>1627</v>
      </c>
      <c r="C2353" t="s">
        <v>123</v>
      </c>
      <c r="D2353" t="s">
        <v>65</v>
      </c>
      <c r="E2353" t="s">
        <v>1624</v>
      </c>
      <c r="F2353" s="13">
        <v>2</v>
      </c>
      <c r="G2353" s="14">
        <v>1981.1</v>
      </c>
      <c r="H2353" s="13">
        <v>146</v>
      </c>
      <c r="I2353" t="s">
        <v>76</v>
      </c>
    </row>
    <row r="2354" spans="1:9" x14ac:dyDescent="0.3">
      <c r="A2354">
        <v>6530</v>
      </c>
      <c r="B2354" t="s">
        <v>414</v>
      </c>
      <c r="C2354" t="s">
        <v>100</v>
      </c>
      <c r="D2354" t="s">
        <v>66</v>
      </c>
      <c r="E2354" t="s">
        <v>1624</v>
      </c>
      <c r="F2354" s="13">
        <v>3</v>
      </c>
      <c r="G2354" s="14">
        <v>3440.65</v>
      </c>
      <c r="H2354" s="13">
        <v>146</v>
      </c>
      <c r="I2354" t="s">
        <v>76</v>
      </c>
    </row>
    <row r="2355" spans="1:9" x14ac:dyDescent="0.3">
      <c r="A2355">
        <v>6997</v>
      </c>
      <c r="B2355" t="s">
        <v>545</v>
      </c>
      <c r="C2355" t="s">
        <v>123</v>
      </c>
      <c r="D2355" t="s">
        <v>65</v>
      </c>
      <c r="E2355" t="s">
        <v>1624</v>
      </c>
      <c r="F2355" s="13">
        <v>1</v>
      </c>
      <c r="G2355" s="14">
        <v>2008.59</v>
      </c>
      <c r="H2355" s="13">
        <v>146</v>
      </c>
      <c r="I2355" t="s">
        <v>76</v>
      </c>
    </row>
    <row r="2356" spans="1:9" x14ac:dyDescent="0.3">
      <c r="A2356">
        <v>7068</v>
      </c>
      <c r="B2356" t="s">
        <v>175</v>
      </c>
      <c r="C2356" t="s">
        <v>90</v>
      </c>
      <c r="D2356" t="s">
        <v>66</v>
      </c>
      <c r="E2356" t="s">
        <v>1624</v>
      </c>
      <c r="F2356" s="13">
        <v>2</v>
      </c>
      <c r="G2356" s="14">
        <v>4944.7</v>
      </c>
      <c r="H2356" s="13">
        <v>146</v>
      </c>
      <c r="I2356" t="s">
        <v>76</v>
      </c>
    </row>
    <row r="2357" spans="1:9" x14ac:dyDescent="0.3">
      <c r="A2357">
        <v>7422</v>
      </c>
      <c r="B2357" t="s">
        <v>1628</v>
      </c>
      <c r="C2357" t="s">
        <v>92</v>
      </c>
      <c r="D2357" t="s">
        <v>64</v>
      </c>
      <c r="E2357" t="s">
        <v>1624</v>
      </c>
      <c r="F2357" s="13">
        <v>1</v>
      </c>
      <c r="G2357" s="14">
        <v>1371.2</v>
      </c>
      <c r="H2357" s="13">
        <v>146</v>
      </c>
      <c r="I2357" t="s">
        <v>76</v>
      </c>
    </row>
    <row r="2358" spans="1:9" x14ac:dyDescent="0.3">
      <c r="A2358">
        <v>7820</v>
      </c>
      <c r="B2358" t="s">
        <v>302</v>
      </c>
      <c r="C2358" t="s">
        <v>97</v>
      </c>
      <c r="D2358" t="s">
        <v>65</v>
      </c>
      <c r="E2358" t="s">
        <v>1624</v>
      </c>
      <c r="F2358" s="13">
        <v>4</v>
      </c>
      <c r="G2358" s="14">
        <v>5530.12</v>
      </c>
      <c r="H2358" s="13">
        <v>146</v>
      </c>
      <c r="I2358" t="s">
        <v>76</v>
      </c>
    </row>
    <row r="2359" spans="1:9" x14ac:dyDescent="0.3">
      <c r="A2359">
        <v>8191</v>
      </c>
      <c r="B2359" t="s">
        <v>1629</v>
      </c>
      <c r="C2359" t="s">
        <v>121</v>
      </c>
      <c r="D2359" t="s">
        <v>67</v>
      </c>
      <c r="E2359" t="s">
        <v>1624</v>
      </c>
      <c r="F2359" s="13">
        <v>2</v>
      </c>
      <c r="G2359" s="14">
        <v>841.8</v>
      </c>
      <c r="H2359" s="13">
        <v>146</v>
      </c>
      <c r="I2359" t="s">
        <v>76</v>
      </c>
    </row>
    <row r="2360" spans="1:9" x14ac:dyDescent="0.3">
      <c r="A2360">
        <v>8232</v>
      </c>
      <c r="B2360" t="s">
        <v>199</v>
      </c>
      <c r="C2360" t="s">
        <v>92</v>
      </c>
      <c r="D2360" t="s">
        <v>64</v>
      </c>
      <c r="E2360" t="s">
        <v>1624</v>
      </c>
      <c r="F2360" s="13">
        <v>1</v>
      </c>
      <c r="G2360" s="14">
        <v>1183.55</v>
      </c>
      <c r="H2360" s="13">
        <v>146</v>
      </c>
      <c r="I2360" t="s">
        <v>76</v>
      </c>
    </row>
    <row r="2361" spans="1:9" x14ac:dyDescent="0.3">
      <c r="A2361">
        <v>8840</v>
      </c>
      <c r="B2361" t="s">
        <v>1630</v>
      </c>
      <c r="C2361" t="s">
        <v>133</v>
      </c>
      <c r="D2361" t="s">
        <v>64</v>
      </c>
      <c r="E2361" t="s">
        <v>1624</v>
      </c>
      <c r="F2361" s="13">
        <v>3</v>
      </c>
      <c r="G2361" s="14">
        <v>6064.4</v>
      </c>
      <c r="H2361" s="13">
        <v>146</v>
      </c>
      <c r="I2361" t="s">
        <v>76</v>
      </c>
    </row>
    <row r="2362" spans="1:9" x14ac:dyDescent="0.3">
      <c r="A2362">
        <v>1</v>
      </c>
      <c r="B2362" t="s">
        <v>1631</v>
      </c>
      <c r="C2362" t="s">
        <v>95</v>
      </c>
      <c r="D2362" t="s">
        <v>65</v>
      </c>
      <c r="E2362" t="s">
        <v>1632</v>
      </c>
      <c r="F2362" s="13">
        <v>1</v>
      </c>
      <c r="G2362" s="14">
        <v>1243.7</v>
      </c>
      <c r="H2362" s="13">
        <v>145</v>
      </c>
      <c r="I2362" t="s">
        <v>76</v>
      </c>
    </row>
    <row r="2363" spans="1:9" x14ac:dyDescent="0.3">
      <c r="A2363">
        <v>44</v>
      </c>
      <c r="B2363" t="s">
        <v>178</v>
      </c>
      <c r="C2363" t="s">
        <v>103</v>
      </c>
      <c r="D2363" t="s">
        <v>67</v>
      </c>
      <c r="E2363" t="s">
        <v>1632</v>
      </c>
      <c r="F2363" s="13">
        <v>2</v>
      </c>
      <c r="G2363" s="14">
        <v>7858.43</v>
      </c>
      <c r="H2363" s="13">
        <v>145</v>
      </c>
      <c r="I2363" t="s">
        <v>76</v>
      </c>
    </row>
    <row r="2364" spans="1:9" x14ac:dyDescent="0.3">
      <c r="A2364">
        <v>168</v>
      </c>
      <c r="B2364" t="s">
        <v>532</v>
      </c>
      <c r="C2364" t="s">
        <v>92</v>
      </c>
      <c r="D2364" t="s">
        <v>64</v>
      </c>
      <c r="E2364" t="s">
        <v>1632</v>
      </c>
      <c r="F2364" s="13">
        <v>1</v>
      </c>
      <c r="G2364" s="14">
        <v>222.19</v>
      </c>
      <c r="H2364" s="13">
        <v>145</v>
      </c>
      <c r="I2364" t="s">
        <v>76</v>
      </c>
    </row>
    <row r="2365" spans="1:9" x14ac:dyDescent="0.3">
      <c r="A2365">
        <v>316</v>
      </c>
      <c r="B2365" t="s">
        <v>448</v>
      </c>
      <c r="C2365" t="s">
        <v>114</v>
      </c>
      <c r="D2365" t="s">
        <v>66</v>
      </c>
      <c r="E2365" t="s">
        <v>1632</v>
      </c>
      <c r="F2365" s="13">
        <v>1</v>
      </c>
      <c r="G2365" s="14">
        <v>1094.94</v>
      </c>
      <c r="H2365" s="13">
        <v>145</v>
      </c>
      <c r="I2365" t="s">
        <v>76</v>
      </c>
    </row>
    <row r="2366" spans="1:9" x14ac:dyDescent="0.3">
      <c r="A2366">
        <v>1076</v>
      </c>
      <c r="B2366" t="s">
        <v>1633</v>
      </c>
      <c r="C2366" t="s">
        <v>90</v>
      </c>
      <c r="D2366" t="s">
        <v>66</v>
      </c>
      <c r="E2366" t="s">
        <v>1632</v>
      </c>
      <c r="F2366" s="13">
        <v>1</v>
      </c>
      <c r="G2366" s="14">
        <v>60.94</v>
      </c>
      <c r="H2366" s="13">
        <v>145</v>
      </c>
      <c r="I2366" t="s">
        <v>76</v>
      </c>
    </row>
    <row r="2367" spans="1:9" x14ac:dyDescent="0.3">
      <c r="A2367">
        <v>1517</v>
      </c>
      <c r="B2367" t="s">
        <v>1634</v>
      </c>
      <c r="C2367" t="s">
        <v>92</v>
      </c>
      <c r="D2367" t="s">
        <v>64</v>
      </c>
      <c r="E2367" t="s">
        <v>1632</v>
      </c>
      <c r="F2367" s="13">
        <v>3</v>
      </c>
      <c r="G2367" s="14">
        <v>4812.8599999999997</v>
      </c>
      <c r="H2367" s="13">
        <v>145</v>
      </c>
      <c r="I2367" t="s">
        <v>76</v>
      </c>
    </row>
    <row r="2368" spans="1:9" x14ac:dyDescent="0.3">
      <c r="A2368">
        <v>3471</v>
      </c>
      <c r="B2368" t="s">
        <v>176</v>
      </c>
      <c r="C2368" t="s">
        <v>123</v>
      </c>
      <c r="D2368" t="s">
        <v>65</v>
      </c>
      <c r="E2368" t="s">
        <v>1632</v>
      </c>
      <c r="F2368" s="13">
        <v>2</v>
      </c>
      <c r="G2368" s="14">
        <v>366.96</v>
      </c>
      <c r="H2368" s="13">
        <v>145</v>
      </c>
      <c r="I2368" t="s">
        <v>76</v>
      </c>
    </row>
    <row r="2369" spans="1:9" x14ac:dyDescent="0.3">
      <c r="A2369">
        <v>4169</v>
      </c>
      <c r="B2369" t="s">
        <v>1457</v>
      </c>
      <c r="C2369" t="s">
        <v>92</v>
      </c>
      <c r="D2369" t="s">
        <v>64</v>
      </c>
      <c r="E2369" t="s">
        <v>1632</v>
      </c>
      <c r="F2369" s="13">
        <v>1</v>
      </c>
      <c r="G2369" s="14">
        <v>4822</v>
      </c>
      <c r="H2369" s="13">
        <v>145</v>
      </c>
      <c r="I2369" t="s">
        <v>76</v>
      </c>
    </row>
    <row r="2370" spans="1:9" x14ac:dyDescent="0.3">
      <c r="A2370">
        <v>4295</v>
      </c>
      <c r="B2370" t="s">
        <v>371</v>
      </c>
      <c r="C2370" t="s">
        <v>100</v>
      </c>
      <c r="D2370" t="s">
        <v>66</v>
      </c>
      <c r="E2370" t="s">
        <v>1632</v>
      </c>
      <c r="F2370" s="13">
        <v>1</v>
      </c>
      <c r="G2370" s="14">
        <v>253.89</v>
      </c>
      <c r="H2370" s="13">
        <v>145</v>
      </c>
      <c r="I2370" t="s">
        <v>76</v>
      </c>
    </row>
    <row r="2371" spans="1:9" x14ac:dyDescent="0.3">
      <c r="A2371">
        <v>5227</v>
      </c>
      <c r="B2371" t="s">
        <v>318</v>
      </c>
      <c r="C2371" t="s">
        <v>92</v>
      </c>
      <c r="D2371" t="s">
        <v>64</v>
      </c>
      <c r="E2371" t="s">
        <v>1632</v>
      </c>
      <c r="F2371" s="13">
        <v>1</v>
      </c>
      <c r="G2371" s="14">
        <v>760.03</v>
      </c>
      <c r="H2371" s="13">
        <v>145</v>
      </c>
      <c r="I2371" t="s">
        <v>76</v>
      </c>
    </row>
    <row r="2372" spans="1:9" x14ac:dyDescent="0.3">
      <c r="A2372">
        <v>5802</v>
      </c>
      <c r="B2372" t="s">
        <v>449</v>
      </c>
      <c r="C2372" t="s">
        <v>97</v>
      </c>
      <c r="D2372" t="s">
        <v>65</v>
      </c>
      <c r="E2372" t="s">
        <v>1632</v>
      </c>
      <c r="F2372" s="13">
        <v>4</v>
      </c>
      <c r="G2372" s="14">
        <v>6559.8</v>
      </c>
      <c r="H2372" s="13">
        <v>145</v>
      </c>
      <c r="I2372" t="s">
        <v>76</v>
      </c>
    </row>
    <row r="2373" spans="1:9" x14ac:dyDescent="0.3">
      <c r="A2373">
        <v>7030</v>
      </c>
      <c r="B2373" t="s">
        <v>109</v>
      </c>
      <c r="C2373" t="s">
        <v>156</v>
      </c>
      <c r="D2373" t="s">
        <v>68</v>
      </c>
      <c r="E2373" t="s">
        <v>1632</v>
      </c>
      <c r="F2373" s="13">
        <v>10</v>
      </c>
      <c r="G2373" s="14">
        <v>18372.98</v>
      </c>
      <c r="H2373" s="13">
        <v>145</v>
      </c>
      <c r="I2373" t="s">
        <v>76</v>
      </c>
    </row>
    <row r="2374" spans="1:9" x14ac:dyDescent="0.3">
      <c r="A2374">
        <v>7637</v>
      </c>
      <c r="B2374" t="s">
        <v>1044</v>
      </c>
      <c r="C2374" t="s">
        <v>92</v>
      </c>
      <c r="D2374" t="s">
        <v>64</v>
      </c>
      <c r="E2374" t="s">
        <v>1632</v>
      </c>
      <c r="F2374" s="13">
        <v>4</v>
      </c>
      <c r="G2374" s="14">
        <v>3494.61</v>
      </c>
      <c r="H2374" s="13">
        <v>145</v>
      </c>
      <c r="I2374" t="s">
        <v>76</v>
      </c>
    </row>
    <row r="2375" spans="1:9" x14ac:dyDescent="0.3">
      <c r="A2375">
        <v>7789</v>
      </c>
      <c r="B2375" t="s">
        <v>1635</v>
      </c>
      <c r="C2375" t="s">
        <v>95</v>
      </c>
      <c r="D2375" t="s">
        <v>65</v>
      </c>
      <c r="E2375" t="s">
        <v>1632</v>
      </c>
      <c r="F2375" s="13">
        <v>2</v>
      </c>
      <c r="G2375" s="14">
        <v>2943.06</v>
      </c>
      <c r="H2375" s="13">
        <v>145</v>
      </c>
      <c r="I2375" t="s">
        <v>76</v>
      </c>
    </row>
    <row r="2376" spans="1:9" x14ac:dyDescent="0.3">
      <c r="A2376">
        <v>462</v>
      </c>
      <c r="B2376" t="s">
        <v>175</v>
      </c>
      <c r="C2376" t="s">
        <v>137</v>
      </c>
      <c r="D2376" t="s">
        <v>64</v>
      </c>
      <c r="E2376" t="s">
        <v>1636</v>
      </c>
      <c r="F2376" s="13">
        <v>1</v>
      </c>
      <c r="G2376" s="14">
        <v>599.69000000000005</v>
      </c>
      <c r="H2376" s="13">
        <v>144</v>
      </c>
      <c r="I2376" t="s">
        <v>76</v>
      </c>
    </row>
    <row r="2377" spans="1:9" x14ac:dyDescent="0.3">
      <c r="A2377">
        <v>977</v>
      </c>
      <c r="B2377" t="s">
        <v>588</v>
      </c>
      <c r="C2377" t="s">
        <v>87</v>
      </c>
      <c r="D2377" t="s">
        <v>64</v>
      </c>
      <c r="E2377" t="s">
        <v>1636</v>
      </c>
      <c r="F2377" s="13">
        <v>1</v>
      </c>
      <c r="G2377" s="14">
        <v>2433.62</v>
      </c>
      <c r="H2377" s="13">
        <v>144</v>
      </c>
      <c r="I2377" t="s">
        <v>76</v>
      </c>
    </row>
    <row r="2378" spans="1:9" x14ac:dyDescent="0.3">
      <c r="A2378">
        <v>2531</v>
      </c>
      <c r="B2378" t="s">
        <v>638</v>
      </c>
      <c r="C2378" t="s">
        <v>92</v>
      </c>
      <c r="D2378" t="s">
        <v>64</v>
      </c>
      <c r="E2378" t="s">
        <v>1636</v>
      </c>
      <c r="F2378" s="13">
        <v>5</v>
      </c>
      <c r="G2378" s="14">
        <v>10729.97</v>
      </c>
      <c r="H2378" s="13">
        <v>144</v>
      </c>
      <c r="I2378" t="s">
        <v>76</v>
      </c>
    </row>
    <row r="2379" spans="1:9" x14ac:dyDescent="0.3">
      <c r="A2379">
        <v>3455</v>
      </c>
      <c r="B2379" t="s">
        <v>1319</v>
      </c>
      <c r="C2379" t="s">
        <v>92</v>
      </c>
      <c r="D2379" t="s">
        <v>64</v>
      </c>
      <c r="E2379" t="s">
        <v>1636</v>
      </c>
      <c r="F2379" s="13">
        <v>2</v>
      </c>
      <c r="G2379" s="14">
        <v>12003.24</v>
      </c>
      <c r="H2379" s="13">
        <v>144</v>
      </c>
      <c r="I2379" t="s">
        <v>76</v>
      </c>
    </row>
    <row r="2380" spans="1:9" x14ac:dyDescent="0.3">
      <c r="A2380">
        <v>3649</v>
      </c>
      <c r="B2380" t="s">
        <v>1398</v>
      </c>
      <c r="C2380" t="s">
        <v>92</v>
      </c>
      <c r="D2380" t="s">
        <v>64</v>
      </c>
      <c r="E2380" t="s">
        <v>1636</v>
      </c>
      <c r="F2380" s="13">
        <v>3</v>
      </c>
      <c r="G2380" s="14">
        <v>10378.799999999999</v>
      </c>
      <c r="H2380" s="13">
        <v>144</v>
      </c>
      <c r="I2380" t="s">
        <v>76</v>
      </c>
    </row>
    <row r="2381" spans="1:9" x14ac:dyDescent="0.3">
      <c r="A2381">
        <v>3971</v>
      </c>
      <c r="B2381" t="s">
        <v>990</v>
      </c>
      <c r="C2381" t="s">
        <v>137</v>
      </c>
      <c r="D2381" t="s">
        <v>64</v>
      </c>
      <c r="E2381" t="s">
        <v>1636</v>
      </c>
      <c r="F2381" s="13">
        <v>2</v>
      </c>
      <c r="G2381" s="14">
        <v>6408.15</v>
      </c>
      <c r="H2381" s="13">
        <v>144</v>
      </c>
      <c r="I2381" t="s">
        <v>76</v>
      </c>
    </row>
    <row r="2382" spans="1:9" x14ac:dyDescent="0.3">
      <c r="A2382">
        <v>3990</v>
      </c>
      <c r="B2382" t="s">
        <v>1637</v>
      </c>
      <c r="C2382" t="s">
        <v>97</v>
      </c>
      <c r="D2382" t="s">
        <v>65</v>
      </c>
      <c r="E2382" t="s">
        <v>1636</v>
      </c>
      <c r="F2382" s="13">
        <v>1</v>
      </c>
      <c r="G2382" s="14">
        <v>3634.23</v>
      </c>
      <c r="H2382" s="13">
        <v>144</v>
      </c>
      <c r="I2382" t="s">
        <v>76</v>
      </c>
    </row>
    <row r="2383" spans="1:9" x14ac:dyDescent="0.3">
      <c r="A2383">
        <v>5175</v>
      </c>
      <c r="B2383" t="s">
        <v>1638</v>
      </c>
      <c r="C2383" t="s">
        <v>95</v>
      </c>
      <c r="D2383" t="s">
        <v>65</v>
      </c>
      <c r="E2383" t="s">
        <v>1636</v>
      </c>
      <c r="F2383" s="13">
        <v>6</v>
      </c>
      <c r="G2383" s="14">
        <v>14135.5</v>
      </c>
      <c r="H2383" s="13">
        <v>144</v>
      </c>
      <c r="I2383" t="s">
        <v>76</v>
      </c>
    </row>
    <row r="2384" spans="1:9" x14ac:dyDescent="0.3">
      <c r="A2384">
        <v>5885</v>
      </c>
      <c r="B2384" t="s">
        <v>519</v>
      </c>
      <c r="C2384" t="s">
        <v>123</v>
      </c>
      <c r="D2384" t="s">
        <v>65</v>
      </c>
      <c r="E2384" t="s">
        <v>1636</v>
      </c>
      <c r="F2384" s="13">
        <v>1</v>
      </c>
      <c r="G2384" s="14">
        <v>1842.48</v>
      </c>
      <c r="H2384" s="13">
        <v>144</v>
      </c>
      <c r="I2384" t="s">
        <v>76</v>
      </c>
    </row>
    <row r="2385" spans="1:9" x14ac:dyDescent="0.3">
      <c r="A2385">
        <v>5932</v>
      </c>
      <c r="B2385" t="s">
        <v>286</v>
      </c>
      <c r="C2385" t="s">
        <v>114</v>
      </c>
      <c r="D2385" t="s">
        <v>66</v>
      </c>
      <c r="E2385" t="s">
        <v>1636</v>
      </c>
      <c r="F2385" s="13">
        <v>5</v>
      </c>
      <c r="G2385" s="14">
        <v>5352.26</v>
      </c>
      <c r="H2385" s="13">
        <v>144</v>
      </c>
      <c r="I2385" t="s">
        <v>76</v>
      </c>
    </row>
    <row r="2386" spans="1:9" x14ac:dyDescent="0.3">
      <c r="A2386">
        <v>6553</v>
      </c>
      <c r="B2386" t="s">
        <v>1639</v>
      </c>
      <c r="C2386" t="s">
        <v>97</v>
      </c>
      <c r="D2386" t="s">
        <v>65</v>
      </c>
      <c r="E2386" t="s">
        <v>1636</v>
      </c>
      <c r="F2386" s="13">
        <v>1</v>
      </c>
      <c r="G2386" s="14">
        <v>647.91999999999996</v>
      </c>
      <c r="H2386" s="13">
        <v>144</v>
      </c>
      <c r="I2386" t="s">
        <v>76</v>
      </c>
    </row>
    <row r="2387" spans="1:9" x14ac:dyDescent="0.3">
      <c r="A2387">
        <v>80</v>
      </c>
      <c r="B2387" t="s">
        <v>257</v>
      </c>
      <c r="C2387" t="s">
        <v>100</v>
      </c>
      <c r="D2387" t="s">
        <v>66</v>
      </c>
      <c r="E2387" t="s">
        <v>1640</v>
      </c>
      <c r="F2387" s="13">
        <v>2</v>
      </c>
      <c r="G2387" s="14">
        <v>1516.26</v>
      </c>
      <c r="H2387" s="13">
        <v>143</v>
      </c>
      <c r="I2387" t="s">
        <v>76</v>
      </c>
    </row>
    <row r="2388" spans="1:9" x14ac:dyDescent="0.3">
      <c r="A2388">
        <v>773</v>
      </c>
      <c r="B2388" t="s">
        <v>1641</v>
      </c>
      <c r="C2388" t="s">
        <v>97</v>
      </c>
      <c r="D2388" t="s">
        <v>65</v>
      </c>
      <c r="E2388" t="s">
        <v>1640</v>
      </c>
      <c r="F2388" s="13">
        <v>6</v>
      </c>
      <c r="G2388" s="14">
        <v>11027.9</v>
      </c>
      <c r="H2388" s="13">
        <v>143</v>
      </c>
      <c r="I2388" t="s">
        <v>76</v>
      </c>
    </row>
    <row r="2389" spans="1:9" x14ac:dyDescent="0.3">
      <c r="A2389">
        <v>1238</v>
      </c>
      <c r="B2389" t="s">
        <v>283</v>
      </c>
      <c r="C2389" t="s">
        <v>87</v>
      </c>
      <c r="D2389" t="s">
        <v>64</v>
      </c>
      <c r="E2389" t="s">
        <v>1640</v>
      </c>
      <c r="F2389" s="13">
        <v>2</v>
      </c>
      <c r="G2389" s="14">
        <v>1737.09</v>
      </c>
      <c r="H2389" s="13">
        <v>143</v>
      </c>
      <c r="I2389" t="s">
        <v>76</v>
      </c>
    </row>
    <row r="2390" spans="1:9" x14ac:dyDescent="0.3">
      <c r="A2390">
        <v>1525</v>
      </c>
      <c r="B2390" t="s">
        <v>448</v>
      </c>
      <c r="C2390" t="s">
        <v>92</v>
      </c>
      <c r="D2390" t="s">
        <v>64</v>
      </c>
      <c r="E2390" t="s">
        <v>1640</v>
      </c>
      <c r="F2390" s="13">
        <v>1</v>
      </c>
      <c r="G2390" s="14">
        <v>129.85</v>
      </c>
      <c r="H2390" s="13">
        <v>143</v>
      </c>
      <c r="I2390" t="s">
        <v>76</v>
      </c>
    </row>
    <row r="2391" spans="1:9" x14ac:dyDescent="0.3">
      <c r="A2391">
        <v>1616</v>
      </c>
      <c r="B2391" t="s">
        <v>323</v>
      </c>
      <c r="C2391" t="s">
        <v>137</v>
      </c>
      <c r="D2391" t="s">
        <v>64</v>
      </c>
      <c r="E2391" t="s">
        <v>1640</v>
      </c>
      <c r="F2391" s="13">
        <v>2</v>
      </c>
      <c r="G2391" s="14">
        <v>11799.67</v>
      </c>
      <c r="H2391" s="13">
        <v>143</v>
      </c>
      <c r="I2391" t="s">
        <v>76</v>
      </c>
    </row>
    <row r="2392" spans="1:9" x14ac:dyDescent="0.3">
      <c r="A2392">
        <v>1677</v>
      </c>
      <c r="B2392" t="s">
        <v>1642</v>
      </c>
      <c r="C2392" t="s">
        <v>114</v>
      </c>
      <c r="D2392" t="s">
        <v>66</v>
      </c>
      <c r="E2392" t="s">
        <v>1640</v>
      </c>
      <c r="F2392" s="13">
        <v>2</v>
      </c>
      <c r="G2392" s="14">
        <v>8801.83</v>
      </c>
      <c r="H2392" s="13">
        <v>143</v>
      </c>
      <c r="I2392" t="s">
        <v>76</v>
      </c>
    </row>
    <row r="2393" spans="1:9" x14ac:dyDescent="0.3">
      <c r="A2393">
        <v>1781</v>
      </c>
      <c r="B2393" t="s">
        <v>1643</v>
      </c>
      <c r="C2393" t="s">
        <v>133</v>
      </c>
      <c r="D2393" t="s">
        <v>64</v>
      </c>
      <c r="E2393" t="s">
        <v>1640</v>
      </c>
      <c r="F2393" s="13">
        <v>3</v>
      </c>
      <c r="G2393" s="14">
        <v>13710.29</v>
      </c>
      <c r="H2393" s="13">
        <v>143</v>
      </c>
      <c r="I2393" t="s">
        <v>76</v>
      </c>
    </row>
    <row r="2394" spans="1:9" x14ac:dyDescent="0.3">
      <c r="A2394">
        <v>2249</v>
      </c>
      <c r="B2394" t="s">
        <v>1235</v>
      </c>
      <c r="C2394" t="s">
        <v>249</v>
      </c>
      <c r="D2394" t="s">
        <v>67</v>
      </c>
      <c r="E2394" t="s">
        <v>1640</v>
      </c>
      <c r="F2394" s="13">
        <v>1</v>
      </c>
      <c r="G2394" s="14">
        <v>152.26</v>
      </c>
      <c r="H2394" s="13">
        <v>143</v>
      </c>
      <c r="I2394" t="s">
        <v>76</v>
      </c>
    </row>
    <row r="2395" spans="1:9" x14ac:dyDescent="0.3">
      <c r="A2395">
        <v>3258</v>
      </c>
      <c r="B2395" t="s">
        <v>277</v>
      </c>
      <c r="C2395" t="s">
        <v>95</v>
      </c>
      <c r="D2395" t="s">
        <v>65</v>
      </c>
      <c r="E2395" t="s">
        <v>1640</v>
      </c>
      <c r="F2395" s="13">
        <v>6</v>
      </c>
      <c r="G2395" s="14">
        <v>19641.05</v>
      </c>
      <c r="H2395" s="13">
        <v>143</v>
      </c>
      <c r="I2395" t="s">
        <v>76</v>
      </c>
    </row>
    <row r="2396" spans="1:9" x14ac:dyDescent="0.3">
      <c r="A2396">
        <v>3378</v>
      </c>
      <c r="B2396" t="s">
        <v>274</v>
      </c>
      <c r="C2396" t="s">
        <v>137</v>
      </c>
      <c r="D2396" t="s">
        <v>64</v>
      </c>
      <c r="E2396" t="s">
        <v>1640</v>
      </c>
      <c r="F2396" s="13">
        <v>1</v>
      </c>
      <c r="G2396" s="14">
        <v>93.68</v>
      </c>
      <c r="H2396" s="13">
        <v>143</v>
      </c>
      <c r="I2396" t="s">
        <v>76</v>
      </c>
    </row>
    <row r="2397" spans="1:9" x14ac:dyDescent="0.3">
      <c r="A2397">
        <v>3610</v>
      </c>
      <c r="B2397" t="s">
        <v>1644</v>
      </c>
      <c r="C2397" t="s">
        <v>87</v>
      </c>
      <c r="D2397" t="s">
        <v>64</v>
      </c>
      <c r="E2397" t="s">
        <v>1640</v>
      </c>
      <c r="F2397" s="13">
        <v>3</v>
      </c>
      <c r="G2397" s="14">
        <v>1849.99</v>
      </c>
      <c r="H2397" s="13">
        <v>143</v>
      </c>
      <c r="I2397" t="s">
        <v>76</v>
      </c>
    </row>
    <row r="2398" spans="1:9" x14ac:dyDescent="0.3">
      <c r="A2398">
        <v>4674</v>
      </c>
      <c r="B2398" t="s">
        <v>540</v>
      </c>
      <c r="C2398" t="s">
        <v>95</v>
      </c>
      <c r="D2398" t="s">
        <v>65</v>
      </c>
      <c r="E2398" t="s">
        <v>1640</v>
      </c>
      <c r="F2398" s="13">
        <v>1</v>
      </c>
      <c r="G2398" s="14">
        <v>2768.17</v>
      </c>
      <c r="H2398" s="13">
        <v>143</v>
      </c>
      <c r="I2398" t="s">
        <v>76</v>
      </c>
    </row>
    <row r="2399" spans="1:9" x14ac:dyDescent="0.3">
      <c r="A2399">
        <v>6667</v>
      </c>
      <c r="B2399" t="s">
        <v>961</v>
      </c>
      <c r="C2399" t="s">
        <v>92</v>
      </c>
      <c r="D2399" t="s">
        <v>64</v>
      </c>
      <c r="E2399" t="s">
        <v>1640</v>
      </c>
      <c r="F2399" s="13">
        <v>3</v>
      </c>
      <c r="G2399" s="14">
        <v>5923.26</v>
      </c>
      <c r="H2399" s="13">
        <v>143</v>
      </c>
      <c r="I2399" t="s">
        <v>76</v>
      </c>
    </row>
    <row r="2400" spans="1:9" x14ac:dyDescent="0.3">
      <c r="A2400">
        <v>6781</v>
      </c>
      <c r="B2400" t="s">
        <v>1384</v>
      </c>
      <c r="C2400" t="s">
        <v>92</v>
      </c>
      <c r="D2400" t="s">
        <v>64</v>
      </c>
      <c r="E2400" t="s">
        <v>1640</v>
      </c>
      <c r="F2400" s="13">
        <v>5</v>
      </c>
      <c r="G2400" s="14">
        <v>6546.53</v>
      </c>
      <c r="H2400" s="13">
        <v>143</v>
      </c>
      <c r="I2400" t="s">
        <v>76</v>
      </c>
    </row>
    <row r="2401" spans="1:9" x14ac:dyDescent="0.3">
      <c r="A2401">
        <v>7042</v>
      </c>
      <c r="B2401" t="s">
        <v>1645</v>
      </c>
      <c r="C2401" t="s">
        <v>133</v>
      </c>
      <c r="D2401" t="s">
        <v>64</v>
      </c>
      <c r="E2401" t="s">
        <v>1640</v>
      </c>
      <c r="F2401" s="13">
        <v>2</v>
      </c>
      <c r="G2401" s="14">
        <v>2823.39</v>
      </c>
      <c r="H2401" s="13">
        <v>143</v>
      </c>
      <c r="I2401" t="s">
        <v>76</v>
      </c>
    </row>
    <row r="2402" spans="1:9" x14ac:dyDescent="0.3">
      <c r="A2402">
        <v>7118</v>
      </c>
      <c r="B2402" t="s">
        <v>1637</v>
      </c>
      <c r="C2402" t="s">
        <v>90</v>
      </c>
      <c r="D2402" t="s">
        <v>66</v>
      </c>
      <c r="E2402" t="s">
        <v>1640</v>
      </c>
      <c r="F2402" s="13">
        <v>1</v>
      </c>
      <c r="G2402" s="14">
        <v>1787.44</v>
      </c>
      <c r="H2402" s="13">
        <v>143</v>
      </c>
      <c r="I2402" t="s">
        <v>76</v>
      </c>
    </row>
    <row r="2403" spans="1:9" x14ac:dyDescent="0.3">
      <c r="A2403">
        <v>7162</v>
      </c>
      <c r="B2403" t="s">
        <v>1646</v>
      </c>
      <c r="C2403" t="s">
        <v>137</v>
      </c>
      <c r="D2403" t="s">
        <v>64</v>
      </c>
      <c r="E2403" t="s">
        <v>1640</v>
      </c>
      <c r="F2403" s="13">
        <v>2</v>
      </c>
      <c r="G2403" s="14">
        <v>1688.33</v>
      </c>
      <c r="H2403" s="13">
        <v>143</v>
      </c>
      <c r="I2403" t="s">
        <v>76</v>
      </c>
    </row>
    <row r="2404" spans="1:9" x14ac:dyDescent="0.3">
      <c r="A2404">
        <v>8027</v>
      </c>
      <c r="B2404" t="s">
        <v>1647</v>
      </c>
      <c r="C2404" t="s">
        <v>133</v>
      </c>
      <c r="D2404" t="s">
        <v>64</v>
      </c>
      <c r="E2404" t="s">
        <v>1640</v>
      </c>
      <c r="F2404" s="13">
        <v>3</v>
      </c>
      <c r="G2404" s="14">
        <v>7167.63</v>
      </c>
      <c r="H2404" s="13">
        <v>143</v>
      </c>
      <c r="I2404" t="s">
        <v>76</v>
      </c>
    </row>
    <row r="2405" spans="1:9" x14ac:dyDescent="0.3">
      <c r="A2405">
        <v>8240</v>
      </c>
      <c r="B2405" t="s">
        <v>348</v>
      </c>
      <c r="C2405" t="s">
        <v>92</v>
      </c>
      <c r="D2405" t="s">
        <v>64</v>
      </c>
      <c r="E2405" t="s">
        <v>1640</v>
      </c>
      <c r="F2405" s="13">
        <v>2</v>
      </c>
      <c r="G2405" s="14">
        <v>1856.52</v>
      </c>
      <c r="H2405" s="13">
        <v>143</v>
      </c>
      <c r="I2405" t="s">
        <v>76</v>
      </c>
    </row>
    <row r="2406" spans="1:9" x14ac:dyDescent="0.3">
      <c r="A2406">
        <v>8654</v>
      </c>
      <c r="B2406" t="s">
        <v>1648</v>
      </c>
      <c r="C2406" t="s">
        <v>100</v>
      </c>
      <c r="D2406" t="s">
        <v>66</v>
      </c>
      <c r="E2406" t="s">
        <v>1640</v>
      </c>
      <c r="F2406" s="13">
        <v>8</v>
      </c>
      <c r="G2406" s="14">
        <v>18023.060000000001</v>
      </c>
      <c r="H2406" s="13">
        <v>143</v>
      </c>
      <c r="I2406" t="s">
        <v>76</v>
      </c>
    </row>
    <row r="2407" spans="1:9" x14ac:dyDescent="0.3">
      <c r="A2407">
        <v>8816</v>
      </c>
      <c r="B2407" t="s">
        <v>494</v>
      </c>
      <c r="C2407" t="s">
        <v>92</v>
      </c>
      <c r="D2407" t="s">
        <v>64</v>
      </c>
      <c r="E2407" t="s">
        <v>1640</v>
      </c>
      <c r="F2407" s="13">
        <v>1</v>
      </c>
      <c r="G2407" s="14">
        <v>1109.49</v>
      </c>
      <c r="H2407" s="13">
        <v>143</v>
      </c>
      <c r="I2407" t="s">
        <v>76</v>
      </c>
    </row>
    <row r="2408" spans="1:9" x14ac:dyDescent="0.3">
      <c r="A2408">
        <v>454</v>
      </c>
      <c r="B2408" t="s">
        <v>494</v>
      </c>
      <c r="C2408" t="s">
        <v>156</v>
      </c>
      <c r="D2408" t="s">
        <v>68</v>
      </c>
      <c r="E2408" t="s">
        <v>1649</v>
      </c>
      <c r="F2408" s="13">
        <v>2</v>
      </c>
      <c r="G2408" s="14">
        <v>5656.93</v>
      </c>
      <c r="H2408" s="13">
        <v>142</v>
      </c>
      <c r="I2408" t="s">
        <v>76</v>
      </c>
    </row>
    <row r="2409" spans="1:9" x14ac:dyDescent="0.3">
      <c r="A2409">
        <v>535</v>
      </c>
      <c r="B2409" t="s">
        <v>1650</v>
      </c>
      <c r="C2409" t="s">
        <v>95</v>
      </c>
      <c r="D2409" t="s">
        <v>65</v>
      </c>
      <c r="E2409" t="s">
        <v>1649</v>
      </c>
      <c r="F2409" s="13">
        <v>5</v>
      </c>
      <c r="G2409" s="14">
        <v>5338.54</v>
      </c>
      <c r="H2409" s="13">
        <v>142</v>
      </c>
      <c r="I2409" t="s">
        <v>76</v>
      </c>
    </row>
    <row r="2410" spans="1:9" x14ac:dyDescent="0.3">
      <c r="A2410">
        <v>1789</v>
      </c>
      <c r="B2410" t="s">
        <v>1651</v>
      </c>
      <c r="C2410" t="s">
        <v>92</v>
      </c>
      <c r="D2410" t="s">
        <v>64</v>
      </c>
      <c r="E2410" t="s">
        <v>1649</v>
      </c>
      <c r="F2410" s="13">
        <v>3</v>
      </c>
      <c r="G2410" s="14">
        <v>9629.2199999999993</v>
      </c>
      <c r="H2410" s="13">
        <v>142</v>
      </c>
      <c r="I2410" t="s">
        <v>76</v>
      </c>
    </row>
    <row r="2411" spans="1:9" x14ac:dyDescent="0.3">
      <c r="A2411">
        <v>1995</v>
      </c>
      <c r="B2411" t="s">
        <v>1652</v>
      </c>
      <c r="C2411" t="s">
        <v>133</v>
      </c>
      <c r="D2411" t="s">
        <v>64</v>
      </c>
      <c r="E2411" t="s">
        <v>1649</v>
      </c>
      <c r="F2411" s="13">
        <v>1</v>
      </c>
      <c r="G2411" s="14">
        <v>280.82</v>
      </c>
      <c r="H2411" s="13">
        <v>142</v>
      </c>
      <c r="I2411" t="s">
        <v>76</v>
      </c>
    </row>
    <row r="2412" spans="1:9" x14ac:dyDescent="0.3">
      <c r="A2412">
        <v>3481</v>
      </c>
      <c r="B2412" t="s">
        <v>153</v>
      </c>
      <c r="C2412" t="s">
        <v>92</v>
      </c>
      <c r="D2412" t="s">
        <v>64</v>
      </c>
      <c r="E2412" t="s">
        <v>1649</v>
      </c>
      <c r="F2412" s="13">
        <v>1</v>
      </c>
      <c r="G2412" s="14">
        <v>3540.1</v>
      </c>
      <c r="H2412" s="13">
        <v>142</v>
      </c>
      <c r="I2412" t="s">
        <v>76</v>
      </c>
    </row>
    <row r="2413" spans="1:9" x14ac:dyDescent="0.3">
      <c r="A2413">
        <v>3686</v>
      </c>
      <c r="B2413" t="s">
        <v>382</v>
      </c>
      <c r="C2413" t="s">
        <v>95</v>
      </c>
      <c r="D2413" t="s">
        <v>65</v>
      </c>
      <c r="E2413" t="s">
        <v>1649</v>
      </c>
      <c r="F2413" s="13">
        <v>2</v>
      </c>
      <c r="G2413" s="14">
        <v>5569.15</v>
      </c>
      <c r="H2413" s="13">
        <v>142</v>
      </c>
      <c r="I2413" t="s">
        <v>76</v>
      </c>
    </row>
    <row r="2414" spans="1:9" x14ac:dyDescent="0.3">
      <c r="A2414">
        <v>4519</v>
      </c>
      <c r="B2414" t="s">
        <v>1653</v>
      </c>
      <c r="C2414" t="s">
        <v>97</v>
      </c>
      <c r="D2414" t="s">
        <v>65</v>
      </c>
      <c r="E2414" t="s">
        <v>1649</v>
      </c>
      <c r="F2414" s="13">
        <v>5</v>
      </c>
      <c r="G2414" s="14">
        <v>13567.98</v>
      </c>
      <c r="H2414" s="13">
        <v>142</v>
      </c>
      <c r="I2414" t="s">
        <v>76</v>
      </c>
    </row>
    <row r="2415" spans="1:9" x14ac:dyDescent="0.3">
      <c r="A2415">
        <v>4809</v>
      </c>
      <c r="B2415" t="s">
        <v>1654</v>
      </c>
      <c r="C2415" t="s">
        <v>92</v>
      </c>
      <c r="D2415" t="s">
        <v>64</v>
      </c>
      <c r="E2415" t="s">
        <v>1649</v>
      </c>
      <c r="F2415" s="13">
        <v>3</v>
      </c>
      <c r="G2415" s="14">
        <v>16456.669999999998</v>
      </c>
      <c r="H2415" s="13">
        <v>142</v>
      </c>
      <c r="I2415" t="s">
        <v>76</v>
      </c>
    </row>
    <row r="2416" spans="1:9" x14ac:dyDescent="0.3">
      <c r="A2416">
        <v>4819</v>
      </c>
      <c r="B2416" t="s">
        <v>1655</v>
      </c>
      <c r="C2416" t="s">
        <v>92</v>
      </c>
      <c r="D2416" t="s">
        <v>64</v>
      </c>
      <c r="E2416" t="s">
        <v>1649</v>
      </c>
      <c r="F2416" s="13">
        <v>6</v>
      </c>
      <c r="G2416" s="14">
        <v>13058.73</v>
      </c>
      <c r="H2416" s="13">
        <v>142</v>
      </c>
      <c r="I2416" t="s">
        <v>76</v>
      </c>
    </row>
    <row r="2417" spans="1:9" x14ac:dyDescent="0.3">
      <c r="A2417">
        <v>5355</v>
      </c>
      <c r="B2417" t="s">
        <v>1656</v>
      </c>
      <c r="C2417" t="s">
        <v>133</v>
      </c>
      <c r="D2417" t="s">
        <v>64</v>
      </c>
      <c r="E2417" t="s">
        <v>1649</v>
      </c>
      <c r="F2417" s="13">
        <v>2</v>
      </c>
      <c r="G2417" s="14">
        <v>3187.66</v>
      </c>
      <c r="H2417" s="13">
        <v>142</v>
      </c>
      <c r="I2417" t="s">
        <v>76</v>
      </c>
    </row>
    <row r="2418" spans="1:9" x14ac:dyDescent="0.3">
      <c r="A2418">
        <v>5872</v>
      </c>
      <c r="B2418" t="s">
        <v>293</v>
      </c>
      <c r="C2418" t="s">
        <v>137</v>
      </c>
      <c r="D2418" t="s">
        <v>64</v>
      </c>
      <c r="E2418" t="s">
        <v>1649</v>
      </c>
      <c r="F2418" s="13">
        <v>1</v>
      </c>
      <c r="G2418" s="14">
        <v>178.1</v>
      </c>
      <c r="H2418" s="13">
        <v>142</v>
      </c>
      <c r="I2418" t="s">
        <v>76</v>
      </c>
    </row>
    <row r="2419" spans="1:9" x14ac:dyDescent="0.3">
      <c r="A2419">
        <v>6547</v>
      </c>
      <c r="B2419" t="s">
        <v>606</v>
      </c>
      <c r="C2419" t="s">
        <v>92</v>
      </c>
      <c r="D2419" t="s">
        <v>64</v>
      </c>
      <c r="E2419" t="s">
        <v>1649</v>
      </c>
      <c r="F2419" s="13">
        <v>2</v>
      </c>
      <c r="G2419" s="14">
        <v>5810.42</v>
      </c>
      <c r="H2419" s="13">
        <v>142</v>
      </c>
      <c r="I2419" t="s">
        <v>76</v>
      </c>
    </row>
    <row r="2420" spans="1:9" x14ac:dyDescent="0.3">
      <c r="A2420">
        <v>6</v>
      </c>
      <c r="B2420" t="s">
        <v>259</v>
      </c>
      <c r="C2420" t="s">
        <v>92</v>
      </c>
      <c r="D2420" t="s">
        <v>64</v>
      </c>
      <c r="E2420" t="s">
        <v>1657</v>
      </c>
      <c r="F2420" s="13">
        <v>3</v>
      </c>
      <c r="G2420" s="14">
        <v>3580.26</v>
      </c>
      <c r="H2420" s="13">
        <v>141</v>
      </c>
      <c r="I2420" t="s">
        <v>76</v>
      </c>
    </row>
    <row r="2421" spans="1:9" x14ac:dyDescent="0.3">
      <c r="A2421">
        <v>106</v>
      </c>
      <c r="B2421" t="s">
        <v>277</v>
      </c>
      <c r="C2421" t="s">
        <v>95</v>
      </c>
      <c r="D2421" t="s">
        <v>65</v>
      </c>
      <c r="E2421" t="s">
        <v>1657</v>
      </c>
      <c r="F2421" s="13">
        <v>2</v>
      </c>
      <c r="G2421" s="14">
        <v>2767.08</v>
      </c>
      <c r="H2421" s="13">
        <v>141</v>
      </c>
      <c r="I2421" t="s">
        <v>76</v>
      </c>
    </row>
    <row r="2422" spans="1:9" x14ac:dyDescent="0.3">
      <c r="A2422">
        <v>521</v>
      </c>
      <c r="B2422" t="s">
        <v>1658</v>
      </c>
      <c r="C2422" t="s">
        <v>123</v>
      </c>
      <c r="D2422" t="s">
        <v>65</v>
      </c>
      <c r="E2422" t="s">
        <v>1657</v>
      </c>
      <c r="F2422" s="13">
        <v>1</v>
      </c>
      <c r="G2422" s="14">
        <v>2777.48</v>
      </c>
      <c r="H2422" s="13">
        <v>141</v>
      </c>
      <c r="I2422" t="s">
        <v>76</v>
      </c>
    </row>
    <row r="2423" spans="1:9" x14ac:dyDescent="0.3">
      <c r="A2423">
        <v>1330</v>
      </c>
      <c r="B2423" t="s">
        <v>175</v>
      </c>
      <c r="C2423" t="s">
        <v>249</v>
      </c>
      <c r="D2423" t="s">
        <v>67</v>
      </c>
      <c r="E2423" t="s">
        <v>1657</v>
      </c>
      <c r="F2423" s="13">
        <v>4</v>
      </c>
      <c r="G2423" s="14">
        <v>12057.99</v>
      </c>
      <c r="H2423" s="13">
        <v>141</v>
      </c>
      <c r="I2423" t="s">
        <v>76</v>
      </c>
    </row>
    <row r="2424" spans="1:9" x14ac:dyDescent="0.3">
      <c r="A2424">
        <v>1552</v>
      </c>
      <c r="B2424" t="s">
        <v>1659</v>
      </c>
      <c r="C2424" t="s">
        <v>97</v>
      </c>
      <c r="D2424" t="s">
        <v>65</v>
      </c>
      <c r="E2424" t="s">
        <v>1657</v>
      </c>
      <c r="F2424" s="13">
        <v>4</v>
      </c>
      <c r="G2424" s="14">
        <v>1911.72</v>
      </c>
      <c r="H2424" s="13">
        <v>141</v>
      </c>
      <c r="I2424" t="s">
        <v>76</v>
      </c>
    </row>
    <row r="2425" spans="1:9" x14ac:dyDescent="0.3">
      <c r="A2425">
        <v>2261</v>
      </c>
      <c r="B2425" t="s">
        <v>1660</v>
      </c>
      <c r="C2425" t="s">
        <v>123</v>
      </c>
      <c r="D2425" t="s">
        <v>65</v>
      </c>
      <c r="E2425" t="s">
        <v>1657</v>
      </c>
      <c r="F2425" s="13">
        <v>2</v>
      </c>
      <c r="G2425" s="14">
        <v>6249.25</v>
      </c>
      <c r="H2425" s="13">
        <v>141</v>
      </c>
      <c r="I2425" t="s">
        <v>76</v>
      </c>
    </row>
    <row r="2426" spans="1:9" x14ac:dyDescent="0.3">
      <c r="A2426">
        <v>2807</v>
      </c>
      <c r="B2426" t="s">
        <v>638</v>
      </c>
      <c r="C2426" t="s">
        <v>95</v>
      </c>
      <c r="D2426" t="s">
        <v>65</v>
      </c>
      <c r="E2426" t="s">
        <v>1657</v>
      </c>
      <c r="F2426" s="13">
        <v>1</v>
      </c>
      <c r="G2426" s="14">
        <v>50.81</v>
      </c>
      <c r="H2426" s="13">
        <v>141</v>
      </c>
      <c r="I2426" t="s">
        <v>76</v>
      </c>
    </row>
    <row r="2427" spans="1:9" x14ac:dyDescent="0.3">
      <c r="A2427">
        <v>3551</v>
      </c>
      <c r="B2427" t="s">
        <v>662</v>
      </c>
      <c r="C2427" t="s">
        <v>123</v>
      </c>
      <c r="D2427" t="s">
        <v>65</v>
      </c>
      <c r="E2427" t="s">
        <v>1657</v>
      </c>
      <c r="F2427" s="13">
        <v>1</v>
      </c>
      <c r="G2427" s="14">
        <v>2075.21</v>
      </c>
      <c r="H2427" s="13">
        <v>141</v>
      </c>
      <c r="I2427" t="s">
        <v>76</v>
      </c>
    </row>
    <row r="2428" spans="1:9" x14ac:dyDescent="0.3">
      <c r="A2428">
        <v>4311</v>
      </c>
      <c r="B2428" t="s">
        <v>1661</v>
      </c>
      <c r="C2428" t="s">
        <v>123</v>
      </c>
      <c r="D2428" t="s">
        <v>65</v>
      </c>
      <c r="E2428" t="s">
        <v>1657</v>
      </c>
      <c r="F2428" s="13">
        <v>1</v>
      </c>
      <c r="G2428" s="14">
        <v>2026.31</v>
      </c>
      <c r="H2428" s="13">
        <v>141</v>
      </c>
      <c r="I2428" t="s">
        <v>76</v>
      </c>
    </row>
    <row r="2429" spans="1:9" x14ac:dyDescent="0.3">
      <c r="A2429">
        <v>5782</v>
      </c>
      <c r="B2429" t="s">
        <v>1662</v>
      </c>
      <c r="C2429" t="s">
        <v>92</v>
      </c>
      <c r="D2429" t="s">
        <v>64</v>
      </c>
      <c r="E2429" t="s">
        <v>1657</v>
      </c>
      <c r="F2429" s="13">
        <v>1</v>
      </c>
      <c r="G2429" s="14">
        <v>4092.33</v>
      </c>
      <c r="H2429" s="13">
        <v>141</v>
      </c>
      <c r="I2429" t="s">
        <v>76</v>
      </c>
    </row>
    <row r="2430" spans="1:9" x14ac:dyDescent="0.3">
      <c r="A2430">
        <v>6012</v>
      </c>
      <c r="B2430" t="s">
        <v>1663</v>
      </c>
      <c r="C2430" t="s">
        <v>249</v>
      </c>
      <c r="D2430" t="s">
        <v>67</v>
      </c>
      <c r="E2430" t="s">
        <v>1657</v>
      </c>
      <c r="F2430" s="13">
        <v>2</v>
      </c>
      <c r="G2430" s="14">
        <v>5543.08</v>
      </c>
      <c r="H2430" s="13">
        <v>141</v>
      </c>
      <c r="I2430" t="s">
        <v>76</v>
      </c>
    </row>
    <row r="2431" spans="1:9" x14ac:dyDescent="0.3">
      <c r="A2431">
        <v>6715</v>
      </c>
      <c r="B2431" t="s">
        <v>519</v>
      </c>
      <c r="C2431" t="s">
        <v>95</v>
      </c>
      <c r="D2431" t="s">
        <v>65</v>
      </c>
      <c r="E2431" t="s">
        <v>1657</v>
      </c>
      <c r="F2431" s="13">
        <v>1</v>
      </c>
      <c r="G2431" s="14">
        <v>783.59</v>
      </c>
      <c r="H2431" s="13">
        <v>141</v>
      </c>
      <c r="I2431" t="s">
        <v>76</v>
      </c>
    </row>
    <row r="2432" spans="1:9" x14ac:dyDescent="0.3">
      <c r="A2432">
        <v>458</v>
      </c>
      <c r="B2432" t="s">
        <v>327</v>
      </c>
      <c r="C2432" t="s">
        <v>100</v>
      </c>
      <c r="D2432" t="s">
        <v>66</v>
      </c>
      <c r="E2432" t="s">
        <v>1664</v>
      </c>
      <c r="F2432" s="13">
        <v>3</v>
      </c>
      <c r="G2432" s="14">
        <v>4800.32</v>
      </c>
      <c r="H2432" s="13">
        <v>140</v>
      </c>
      <c r="I2432" t="s">
        <v>76</v>
      </c>
    </row>
    <row r="2433" spans="1:9" x14ac:dyDescent="0.3">
      <c r="A2433">
        <v>2318</v>
      </c>
      <c r="B2433" t="s">
        <v>1486</v>
      </c>
      <c r="C2433" t="s">
        <v>137</v>
      </c>
      <c r="D2433" t="s">
        <v>64</v>
      </c>
      <c r="E2433" t="s">
        <v>1664</v>
      </c>
      <c r="F2433" s="13">
        <v>1</v>
      </c>
      <c r="G2433" s="14">
        <v>3592.42</v>
      </c>
      <c r="H2433" s="13">
        <v>140</v>
      </c>
      <c r="I2433" t="s">
        <v>76</v>
      </c>
    </row>
    <row r="2434" spans="1:9" x14ac:dyDescent="0.3">
      <c r="A2434">
        <v>2476</v>
      </c>
      <c r="B2434" t="s">
        <v>274</v>
      </c>
      <c r="C2434" t="s">
        <v>92</v>
      </c>
      <c r="D2434" t="s">
        <v>64</v>
      </c>
      <c r="E2434" t="s">
        <v>1664</v>
      </c>
      <c r="F2434" s="13">
        <v>1</v>
      </c>
      <c r="G2434" s="14">
        <v>655.77</v>
      </c>
      <c r="H2434" s="13">
        <v>140</v>
      </c>
      <c r="I2434" t="s">
        <v>76</v>
      </c>
    </row>
    <row r="2435" spans="1:9" x14ac:dyDescent="0.3">
      <c r="A2435">
        <v>3786</v>
      </c>
      <c r="B2435" t="s">
        <v>1665</v>
      </c>
      <c r="C2435" t="s">
        <v>121</v>
      </c>
      <c r="D2435" t="s">
        <v>67</v>
      </c>
      <c r="E2435" t="s">
        <v>1664</v>
      </c>
      <c r="F2435" s="13">
        <v>4</v>
      </c>
      <c r="G2435" s="14">
        <v>3966.91</v>
      </c>
      <c r="H2435" s="13">
        <v>140</v>
      </c>
      <c r="I2435" t="s">
        <v>76</v>
      </c>
    </row>
    <row r="2436" spans="1:9" x14ac:dyDescent="0.3">
      <c r="A2436">
        <v>3834</v>
      </c>
      <c r="B2436" t="s">
        <v>1566</v>
      </c>
      <c r="C2436" t="s">
        <v>123</v>
      </c>
      <c r="D2436" t="s">
        <v>65</v>
      </c>
      <c r="E2436" t="s">
        <v>1664</v>
      </c>
      <c r="F2436" s="13">
        <v>1</v>
      </c>
      <c r="G2436" s="14">
        <v>363.47</v>
      </c>
      <c r="H2436" s="13">
        <v>140</v>
      </c>
      <c r="I2436" t="s">
        <v>76</v>
      </c>
    </row>
    <row r="2437" spans="1:9" x14ac:dyDescent="0.3">
      <c r="A2437">
        <v>4915</v>
      </c>
      <c r="B2437" t="s">
        <v>142</v>
      </c>
      <c r="C2437" t="s">
        <v>137</v>
      </c>
      <c r="D2437" t="s">
        <v>64</v>
      </c>
      <c r="E2437" t="s">
        <v>1664</v>
      </c>
      <c r="F2437" s="13">
        <v>3</v>
      </c>
      <c r="G2437" s="14">
        <v>4515.6099999999997</v>
      </c>
      <c r="H2437" s="13">
        <v>140</v>
      </c>
      <c r="I2437" t="s">
        <v>76</v>
      </c>
    </row>
    <row r="2438" spans="1:9" x14ac:dyDescent="0.3">
      <c r="A2438">
        <v>5116</v>
      </c>
      <c r="B2438" t="s">
        <v>524</v>
      </c>
      <c r="C2438" t="s">
        <v>114</v>
      </c>
      <c r="D2438" t="s">
        <v>66</v>
      </c>
      <c r="E2438" t="s">
        <v>1664</v>
      </c>
      <c r="F2438" s="13">
        <v>4</v>
      </c>
      <c r="G2438" s="14">
        <v>2427.33</v>
      </c>
      <c r="H2438" s="13">
        <v>140</v>
      </c>
      <c r="I2438" t="s">
        <v>76</v>
      </c>
    </row>
    <row r="2439" spans="1:9" x14ac:dyDescent="0.3">
      <c r="A2439">
        <v>6221</v>
      </c>
      <c r="B2439" t="s">
        <v>1666</v>
      </c>
      <c r="C2439" t="s">
        <v>137</v>
      </c>
      <c r="D2439" t="s">
        <v>64</v>
      </c>
      <c r="E2439" t="s">
        <v>1664</v>
      </c>
      <c r="F2439" s="13">
        <v>1</v>
      </c>
      <c r="G2439" s="14">
        <v>224.97</v>
      </c>
      <c r="H2439" s="13">
        <v>140</v>
      </c>
      <c r="I2439" t="s">
        <v>76</v>
      </c>
    </row>
    <row r="2440" spans="1:9" x14ac:dyDescent="0.3">
      <c r="A2440">
        <v>6689</v>
      </c>
      <c r="B2440" t="s">
        <v>706</v>
      </c>
      <c r="C2440" t="s">
        <v>123</v>
      </c>
      <c r="D2440" t="s">
        <v>65</v>
      </c>
      <c r="E2440" t="s">
        <v>1664</v>
      </c>
      <c r="F2440" s="13">
        <v>1</v>
      </c>
      <c r="G2440" s="14">
        <v>14552.4</v>
      </c>
      <c r="H2440" s="13">
        <v>140</v>
      </c>
      <c r="I2440" t="s">
        <v>76</v>
      </c>
    </row>
    <row r="2441" spans="1:9" x14ac:dyDescent="0.3">
      <c r="A2441">
        <v>7929</v>
      </c>
      <c r="B2441" t="s">
        <v>1479</v>
      </c>
      <c r="C2441" t="s">
        <v>92</v>
      </c>
      <c r="D2441" t="s">
        <v>64</v>
      </c>
      <c r="E2441" t="s">
        <v>1664</v>
      </c>
      <c r="F2441" s="13">
        <v>1</v>
      </c>
      <c r="G2441" s="14">
        <v>336.07</v>
      </c>
      <c r="H2441" s="13">
        <v>140</v>
      </c>
      <c r="I2441" t="s">
        <v>76</v>
      </c>
    </row>
    <row r="2442" spans="1:9" x14ac:dyDescent="0.3">
      <c r="A2442">
        <v>8025</v>
      </c>
      <c r="B2442" t="s">
        <v>1177</v>
      </c>
      <c r="C2442" t="s">
        <v>103</v>
      </c>
      <c r="D2442" t="s">
        <v>67</v>
      </c>
      <c r="E2442" t="s">
        <v>1664</v>
      </c>
      <c r="F2442" s="13">
        <v>1</v>
      </c>
      <c r="G2442" s="14">
        <v>4032.77</v>
      </c>
      <c r="H2442" s="13">
        <v>140</v>
      </c>
      <c r="I2442" t="s">
        <v>76</v>
      </c>
    </row>
    <row r="2443" spans="1:9" x14ac:dyDescent="0.3">
      <c r="A2443">
        <v>8361</v>
      </c>
      <c r="B2443" t="s">
        <v>204</v>
      </c>
      <c r="C2443" t="s">
        <v>123</v>
      </c>
      <c r="D2443" t="s">
        <v>65</v>
      </c>
      <c r="E2443" t="s">
        <v>1664</v>
      </c>
      <c r="F2443" s="13">
        <v>1</v>
      </c>
      <c r="G2443" s="14">
        <v>577.32000000000005</v>
      </c>
      <c r="H2443" s="13">
        <v>140</v>
      </c>
      <c r="I2443" t="s">
        <v>76</v>
      </c>
    </row>
    <row r="2444" spans="1:9" x14ac:dyDescent="0.3">
      <c r="A2444">
        <v>224</v>
      </c>
      <c r="B2444" t="s">
        <v>1667</v>
      </c>
      <c r="C2444" t="s">
        <v>95</v>
      </c>
      <c r="D2444" t="s">
        <v>65</v>
      </c>
      <c r="E2444" t="s">
        <v>1668</v>
      </c>
      <c r="F2444" s="13">
        <v>2</v>
      </c>
      <c r="G2444" s="14">
        <v>222.43</v>
      </c>
      <c r="H2444" s="13">
        <v>139</v>
      </c>
      <c r="I2444" t="s">
        <v>76</v>
      </c>
    </row>
    <row r="2445" spans="1:9" x14ac:dyDescent="0.3">
      <c r="A2445">
        <v>688</v>
      </c>
      <c r="B2445" t="s">
        <v>1669</v>
      </c>
      <c r="C2445" t="s">
        <v>133</v>
      </c>
      <c r="D2445" t="s">
        <v>64</v>
      </c>
      <c r="E2445" t="s">
        <v>1668</v>
      </c>
      <c r="F2445" s="13">
        <v>1</v>
      </c>
      <c r="G2445" s="14">
        <v>1965.5</v>
      </c>
      <c r="H2445" s="13">
        <v>139</v>
      </c>
      <c r="I2445" t="s">
        <v>76</v>
      </c>
    </row>
    <row r="2446" spans="1:9" x14ac:dyDescent="0.3">
      <c r="A2446">
        <v>869</v>
      </c>
      <c r="B2446" t="s">
        <v>176</v>
      </c>
      <c r="C2446" t="s">
        <v>133</v>
      </c>
      <c r="D2446" t="s">
        <v>64</v>
      </c>
      <c r="E2446" t="s">
        <v>1668</v>
      </c>
      <c r="F2446" s="13">
        <v>1</v>
      </c>
      <c r="G2446" s="14">
        <v>880.77</v>
      </c>
      <c r="H2446" s="13">
        <v>139</v>
      </c>
      <c r="I2446" t="s">
        <v>76</v>
      </c>
    </row>
    <row r="2447" spans="1:9" x14ac:dyDescent="0.3">
      <c r="A2447">
        <v>936</v>
      </c>
      <c r="B2447" t="s">
        <v>1670</v>
      </c>
      <c r="C2447" t="s">
        <v>95</v>
      </c>
      <c r="D2447" t="s">
        <v>65</v>
      </c>
      <c r="E2447" t="s">
        <v>1668</v>
      </c>
      <c r="F2447" s="13">
        <v>2</v>
      </c>
      <c r="G2447" s="14">
        <v>5184.83</v>
      </c>
      <c r="H2447" s="13">
        <v>139</v>
      </c>
      <c r="I2447" t="s">
        <v>76</v>
      </c>
    </row>
    <row r="2448" spans="1:9" x14ac:dyDescent="0.3">
      <c r="A2448">
        <v>1171</v>
      </c>
      <c r="B2448" t="s">
        <v>197</v>
      </c>
      <c r="C2448" t="s">
        <v>137</v>
      </c>
      <c r="D2448" t="s">
        <v>64</v>
      </c>
      <c r="E2448" t="s">
        <v>1668</v>
      </c>
      <c r="F2448" s="13">
        <v>3</v>
      </c>
      <c r="G2448" s="14">
        <v>5138.79</v>
      </c>
      <c r="H2448" s="13">
        <v>139</v>
      </c>
      <c r="I2448" t="s">
        <v>76</v>
      </c>
    </row>
    <row r="2449" spans="1:9" x14ac:dyDescent="0.3">
      <c r="A2449">
        <v>1366</v>
      </c>
      <c r="B2449" t="s">
        <v>1671</v>
      </c>
      <c r="C2449" t="s">
        <v>97</v>
      </c>
      <c r="D2449" t="s">
        <v>65</v>
      </c>
      <c r="E2449" t="s">
        <v>1668</v>
      </c>
      <c r="F2449" s="13">
        <v>1</v>
      </c>
      <c r="G2449" s="14">
        <v>3435.9</v>
      </c>
      <c r="H2449" s="13">
        <v>139</v>
      </c>
      <c r="I2449" t="s">
        <v>76</v>
      </c>
    </row>
    <row r="2450" spans="1:9" x14ac:dyDescent="0.3">
      <c r="A2450">
        <v>2168</v>
      </c>
      <c r="B2450" t="s">
        <v>573</v>
      </c>
      <c r="C2450" t="s">
        <v>123</v>
      </c>
      <c r="D2450" t="s">
        <v>65</v>
      </c>
      <c r="E2450" t="s">
        <v>1668</v>
      </c>
      <c r="F2450" s="13">
        <v>1</v>
      </c>
      <c r="G2450" s="14">
        <v>1541.89</v>
      </c>
      <c r="H2450" s="13">
        <v>139</v>
      </c>
      <c r="I2450" t="s">
        <v>76</v>
      </c>
    </row>
    <row r="2451" spans="1:9" x14ac:dyDescent="0.3">
      <c r="A2451">
        <v>2416</v>
      </c>
      <c r="B2451" t="s">
        <v>257</v>
      </c>
      <c r="C2451" t="s">
        <v>133</v>
      </c>
      <c r="D2451" t="s">
        <v>64</v>
      </c>
      <c r="E2451" t="s">
        <v>1668</v>
      </c>
      <c r="F2451" s="13">
        <v>1</v>
      </c>
      <c r="G2451" s="14">
        <v>187.77</v>
      </c>
      <c r="H2451" s="13">
        <v>139</v>
      </c>
      <c r="I2451" t="s">
        <v>76</v>
      </c>
    </row>
    <row r="2452" spans="1:9" x14ac:dyDescent="0.3">
      <c r="A2452">
        <v>3952</v>
      </c>
      <c r="B2452" t="s">
        <v>1672</v>
      </c>
      <c r="C2452" t="s">
        <v>103</v>
      </c>
      <c r="D2452" t="s">
        <v>67</v>
      </c>
      <c r="E2452" t="s">
        <v>1668</v>
      </c>
      <c r="F2452" s="13">
        <v>3</v>
      </c>
      <c r="G2452" s="14">
        <v>14698.33</v>
      </c>
      <c r="H2452" s="13">
        <v>139</v>
      </c>
      <c r="I2452" t="s">
        <v>76</v>
      </c>
    </row>
    <row r="2453" spans="1:9" x14ac:dyDescent="0.3">
      <c r="A2453">
        <v>4072</v>
      </c>
      <c r="B2453" t="s">
        <v>1673</v>
      </c>
      <c r="C2453" t="s">
        <v>87</v>
      </c>
      <c r="D2453" t="s">
        <v>64</v>
      </c>
      <c r="E2453" t="s">
        <v>1668</v>
      </c>
      <c r="F2453" s="13">
        <v>5</v>
      </c>
      <c r="G2453" s="14">
        <v>14492.82</v>
      </c>
      <c r="H2453" s="13">
        <v>139</v>
      </c>
      <c r="I2453" t="s">
        <v>76</v>
      </c>
    </row>
    <row r="2454" spans="1:9" x14ac:dyDescent="0.3">
      <c r="A2454">
        <v>4231</v>
      </c>
      <c r="B2454" t="s">
        <v>151</v>
      </c>
      <c r="C2454" t="s">
        <v>137</v>
      </c>
      <c r="D2454" t="s">
        <v>64</v>
      </c>
      <c r="E2454" t="s">
        <v>1668</v>
      </c>
      <c r="F2454" s="13">
        <v>4</v>
      </c>
      <c r="G2454" s="14">
        <v>8386.15</v>
      </c>
      <c r="H2454" s="13">
        <v>139</v>
      </c>
      <c r="I2454" t="s">
        <v>76</v>
      </c>
    </row>
    <row r="2455" spans="1:9" x14ac:dyDescent="0.3">
      <c r="A2455">
        <v>4411</v>
      </c>
      <c r="B2455" t="s">
        <v>205</v>
      </c>
      <c r="C2455" t="s">
        <v>103</v>
      </c>
      <c r="D2455" t="s">
        <v>67</v>
      </c>
      <c r="E2455" t="s">
        <v>1668</v>
      </c>
      <c r="F2455" s="13">
        <v>1</v>
      </c>
      <c r="G2455" s="14">
        <v>1745.43</v>
      </c>
      <c r="H2455" s="13">
        <v>139</v>
      </c>
      <c r="I2455" t="s">
        <v>76</v>
      </c>
    </row>
    <row r="2456" spans="1:9" x14ac:dyDescent="0.3">
      <c r="A2456">
        <v>6161</v>
      </c>
      <c r="B2456" t="s">
        <v>321</v>
      </c>
      <c r="C2456" t="s">
        <v>133</v>
      </c>
      <c r="D2456" t="s">
        <v>64</v>
      </c>
      <c r="E2456" t="s">
        <v>1668</v>
      </c>
      <c r="F2456" s="13">
        <v>1</v>
      </c>
      <c r="G2456" s="14">
        <v>2376.27</v>
      </c>
      <c r="H2456" s="13">
        <v>139</v>
      </c>
      <c r="I2456" t="s">
        <v>76</v>
      </c>
    </row>
    <row r="2457" spans="1:9" x14ac:dyDescent="0.3">
      <c r="A2457">
        <v>6504</v>
      </c>
      <c r="B2457" t="s">
        <v>1674</v>
      </c>
      <c r="C2457" t="s">
        <v>123</v>
      </c>
      <c r="D2457" t="s">
        <v>65</v>
      </c>
      <c r="E2457" t="s">
        <v>1668</v>
      </c>
      <c r="F2457" s="13">
        <v>3</v>
      </c>
      <c r="G2457" s="14">
        <v>3292.23</v>
      </c>
      <c r="H2457" s="13">
        <v>139</v>
      </c>
      <c r="I2457" t="s">
        <v>76</v>
      </c>
    </row>
    <row r="2458" spans="1:9" x14ac:dyDescent="0.3">
      <c r="A2458">
        <v>8713</v>
      </c>
      <c r="B2458" t="s">
        <v>645</v>
      </c>
      <c r="C2458" t="s">
        <v>137</v>
      </c>
      <c r="D2458" t="s">
        <v>64</v>
      </c>
      <c r="E2458" t="s">
        <v>1668</v>
      </c>
      <c r="F2458" s="13">
        <v>4</v>
      </c>
      <c r="G2458" s="14">
        <v>4983.1400000000003</v>
      </c>
      <c r="H2458" s="13">
        <v>139</v>
      </c>
      <c r="I2458" t="s">
        <v>76</v>
      </c>
    </row>
    <row r="2459" spans="1:9" x14ac:dyDescent="0.3">
      <c r="A2459">
        <v>124</v>
      </c>
      <c r="B2459" t="s">
        <v>353</v>
      </c>
      <c r="C2459" t="s">
        <v>92</v>
      </c>
      <c r="D2459" t="s">
        <v>64</v>
      </c>
      <c r="E2459" t="s">
        <v>1675</v>
      </c>
      <c r="F2459" s="13">
        <v>7</v>
      </c>
      <c r="G2459" s="14">
        <v>17853.54</v>
      </c>
      <c r="H2459" s="13">
        <v>138</v>
      </c>
      <c r="I2459" t="s">
        <v>76</v>
      </c>
    </row>
    <row r="2460" spans="1:9" x14ac:dyDescent="0.3">
      <c r="A2460">
        <v>252</v>
      </c>
      <c r="B2460" t="s">
        <v>205</v>
      </c>
      <c r="C2460" t="s">
        <v>123</v>
      </c>
      <c r="D2460" t="s">
        <v>65</v>
      </c>
      <c r="E2460" t="s">
        <v>1675</v>
      </c>
      <c r="F2460" s="13">
        <v>2</v>
      </c>
      <c r="G2460" s="14">
        <v>3958.77</v>
      </c>
      <c r="H2460" s="13">
        <v>138</v>
      </c>
      <c r="I2460" t="s">
        <v>76</v>
      </c>
    </row>
    <row r="2461" spans="1:9" x14ac:dyDescent="0.3">
      <c r="A2461">
        <v>3644</v>
      </c>
      <c r="B2461" t="s">
        <v>1676</v>
      </c>
      <c r="C2461" t="s">
        <v>92</v>
      </c>
      <c r="D2461" t="s">
        <v>64</v>
      </c>
      <c r="E2461" t="s">
        <v>1675</v>
      </c>
      <c r="F2461" s="13">
        <v>1</v>
      </c>
      <c r="G2461" s="14">
        <v>1456.41</v>
      </c>
      <c r="H2461" s="13">
        <v>138</v>
      </c>
      <c r="I2461" t="s">
        <v>76</v>
      </c>
    </row>
    <row r="2462" spans="1:9" x14ac:dyDescent="0.3">
      <c r="A2462">
        <v>4449</v>
      </c>
      <c r="B2462" t="s">
        <v>1677</v>
      </c>
      <c r="C2462" t="s">
        <v>133</v>
      </c>
      <c r="D2462" t="s">
        <v>64</v>
      </c>
      <c r="E2462" t="s">
        <v>1675</v>
      </c>
      <c r="F2462" s="13">
        <v>2</v>
      </c>
      <c r="G2462" s="14">
        <v>2892.65</v>
      </c>
      <c r="H2462" s="13">
        <v>138</v>
      </c>
      <c r="I2462" t="s">
        <v>76</v>
      </c>
    </row>
    <row r="2463" spans="1:9" x14ac:dyDescent="0.3">
      <c r="A2463">
        <v>5956</v>
      </c>
      <c r="B2463" t="s">
        <v>318</v>
      </c>
      <c r="C2463" t="s">
        <v>156</v>
      </c>
      <c r="D2463" t="s">
        <v>68</v>
      </c>
      <c r="E2463" t="s">
        <v>1675</v>
      </c>
      <c r="F2463" s="13">
        <v>1</v>
      </c>
      <c r="G2463" s="14">
        <v>877.13</v>
      </c>
      <c r="H2463" s="13">
        <v>138</v>
      </c>
      <c r="I2463" t="s">
        <v>76</v>
      </c>
    </row>
    <row r="2464" spans="1:9" x14ac:dyDescent="0.3">
      <c r="A2464">
        <v>6263</v>
      </c>
      <c r="B2464" t="s">
        <v>540</v>
      </c>
      <c r="C2464" t="s">
        <v>92</v>
      </c>
      <c r="D2464" t="s">
        <v>64</v>
      </c>
      <c r="E2464" t="s">
        <v>1675</v>
      </c>
      <c r="F2464" s="13">
        <v>5</v>
      </c>
      <c r="G2464" s="14">
        <v>9989.64</v>
      </c>
      <c r="H2464" s="13">
        <v>138</v>
      </c>
      <c r="I2464" t="s">
        <v>76</v>
      </c>
    </row>
    <row r="2465" spans="1:9" x14ac:dyDescent="0.3">
      <c r="A2465">
        <v>6320</v>
      </c>
      <c r="B2465" t="s">
        <v>1678</v>
      </c>
      <c r="C2465" t="s">
        <v>133</v>
      </c>
      <c r="D2465" t="s">
        <v>64</v>
      </c>
      <c r="E2465" t="s">
        <v>1675</v>
      </c>
      <c r="F2465" s="13">
        <v>3</v>
      </c>
      <c r="G2465" s="14">
        <v>3973.77</v>
      </c>
      <c r="H2465" s="13">
        <v>138</v>
      </c>
      <c r="I2465" t="s">
        <v>76</v>
      </c>
    </row>
    <row r="2466" spans="1:9" x14ac:dyDescent="0.3">
      <c r="A2466">
        <v>6628</v>
      </c>
      <c r="B2466" t="s">
        <v>253</v>
      </c>
      <c r="C2466" t="s">
        <v>249</v>
      </c>
      <c r="D2466" t="s">
        <v>67</v>
      </c>
      <c r="E2466" t="s">
        <v>1675</v>
      </c>
      <c r="F2466" s="13">
        <v>8</v>
      </c>
      <c r="G2466" s="14">
        <v>12111.8</v>
      </c>
      <c r="H2466" s="13">
        <v>138</v>
      </c>
      <c r="I2466" t="s">
        <v>76</v>
      </c>
    </row>
    <row r="2467" spans="1:9" x14ac:dyDescent="0.3">
      <c r="A2467">
        <v>6852</v>
      </c>
      <c r="B2467" t="s">
        <v>448</v>
      </c>
      <c r="C2467" t="s">
        <v>133</v>
      </c>
      <c r="D2467" t="s">
        <v>64</v>
      </c>
      <c r="E2467" t="s">
        <v>1675</v>
      </c>
      <c r="F2467" s="13">
        <v>1</v>
      </c>
      <c r="G2467" s="14">
        <v>383.72</v>
      </c>
      <c r="H2467" s="13">
        <v>138</v>
      </c>
      <c r="I2467" t="s">
        <v>76</v>
      </c>
    </row>
    <row r="2468" spans="1:9" x14ac:dyDescent="0.3">
      <c r="A2468">
        <v>8886</v>
      </c>
      <c r="B2468" t="s">
        <v>1679</v>
      </c>
      <c r="C2468" t="s">
        <v>123</v>
      </c>
      <c r="D2468" t="s">
        <v>65</v>
      </c>
      <c r="E2468" t="s">
        <v>1675</v>
      </c>
      <c r="F2468" s="13">
        <v>2</v>
      </c>
      <c r="G2468" s="14">
        <v>14272.9</v>
      </c>
      <c r="H2468" s="13">
        <v>138</v>
      </c>
      <c r="I2468" t="s">
        <v>76</v>
      </c>
    </row>
    <row r="2469" spans="1:9" x14ac:dyDescent="0.3">
      <c r="A2469">
        <v>8891</v>
      </c>
      <c r="B2469" t="s">
        <v>1680</v>
      </c>
      <c r="C2469" t="s">
        <v>123</v>
      </c>
      <c r="D2469" t="s">
        <v>65</v>
      </c>
      <c r="E2469" t="s">
        <v>1675</v>
      </c>
      <c r="F2469" s="13">
        <v>3</v>
      </c>
      <c r="G2469" s="14">
        <v>3097.28</v>
      </c>
      <c r="H2469" s="13">
        <v>138</v>
      </c>
      <c r="I2469" t="s">
        <v>76</v>
      </c>
    </row>
    <row r="2470" spans="1:9" x14ac:dyDescent="0.3">
      <c r="A2470">
        <v>56</v>
      </c>
      <c r="B2470" t="s">
        <v>597</v>
      </c>
      <c r="C2470" t="s">
        <v>92</v>
      </c>
      <c r="D2470" t="s">
        <v>64</v>
      </c>
      <c r="E2470" t="s">
        <v>1681</v>
      </c>
      <c r="F2470" s="13">
        <v>2</v>
      </c>
      <c r="G2470" s="14">
        <v>4678.07</v>
      </c>
      <c r="H2470" s="13">
        <v>137</v>
      </c>
      <c r="I2470" t="s">
        <v>76</v>
      </c>
    </row>
    <row r="2471" spans="1:9" x14ac:dyDescent="0.3">
      <c r="A2471">
        <v>1122</v>
      </c>
      <c r="B2471" t="s">
        <v>175</v>
      </c>
      <c r="C2471" t="s">
        <v>90</v>
      </c>
      <c r="D2471" t="s">
        <v>66</v>
      </c>
      <c r="E2471" t="s">
        <v>1681</v>
      </c>
      <c r="F2471" s="13">
        <v>1</v>
      </c>
      <c r="G2471" s="14">
        <v>3019.76</v>
      </c>
      <c r="H2471" s="13">
        <v>137</v>
      </c>
      <c r="I2471" t="s">
        <v>76</v>
      </c>
    </row>
    <row r="2472" spans="1:9" x14ac:dyDescent="0.3">
      <c r="A2472">
        <v>2530</v>
      </c>
      <c r="B2472" t="s">
        <v>1682</v>
      </c>
      <c r="C2472" t="s">
        <v>92</v>
      </c>
      <c r="D2472" t="s">
        <v>64</v>
      </c>
      <c r="E2472" t="s">
        <v>1681</v>
      </c>
      <c r="F2472" s="13">
        <v>5</v>
      </c>
      <c r="G2472" s="14">
        <v>17448.099999999999</v>
      </c>
      <c r="H2472" s="13">
        <v>137</v>
      </c>
      <c r="I2472" t="s">
        <v>76</v>
      </c>
    </row>
    <row r="2473" spans="1:9" x14ac:dyDescent="0.3">
      <c r="A2473">
        <v>4529</v>
      </c>
      <c r="B2473" t="s">
        <v>1683</v>
      </c>
      <c r="C2473" t="s">
        <v>133</v>
      </c>
      <c r="D2473" t="s">
        <v>64</v>
      </c>
      <c r="E2473" t="s">
        <v>1681</v>
      </c>
      <c r="F2473" s="13">
        <v>1</v>
      </c>
      <c r="G2473" s="14">
        <v>1421.13</v>
      </c>
      <c r="H2473" s="13">
        <v>137</v>
      </c>
      <c r="I2473" t="s">
        <v>76</v>
      </c>
    </row>
    <row r="2474" spans="1:9" x14ac:dyDescent="0.3">
      <c r="A2474">
        <v>4730</v>
      </c>
      <c r="B2474" t="s">
        <v>1105</v>
      </c>
      <c r="C2474" t="s">
        <v>87</v>
      </c>
      <c r="D2474" t="s">
        <v>64</v>
      </c>
      <c r="E2474" t="s">
        <v>1681</v>
      </c>
      <c r="F2474" s="13">
        <v>6</v>
      </c>
      <c r="G2474" s="14">
        <v>9652.2999999999993</v>
      </c>
      <c r="H2474" s="13">
        <v>137</v>
      </c>
      <c r="I2474" t="s">
        <v>76</v>
      </c>
    </row>
    <row r="2475" spans="1:9" x14ac:dyDescent="0.3">
      <c r="A2475">
        <v>4952</v>
      </c>
      <c r="B2475" t="s">
        <v>1684</v>
      </c>
      <c r="C2475" t="s">
        <v>95</v>
      </c>
      <c r="D2475" t="s">
        <v>65</v>
      </c>
      <c r="E2475" t="s">
        <v>1681</v>
      </c>
      <c r="F2475" s="13">
        <v>4</v>
      </c>
      <c r="G2475" s="14">
        <v>6992.4</v>
      </c>
      <c r="H2475" s="13">
        <v>137</v>
      </c>
      <c r="I2475" t="s">
        <v>76</v>
      </c>
    </row>
    <row r="2476" spans="1:9" x14ac:dyDescent="0.3">
      <c r="A2476">
        <v>5224</v>
      </c>
      <c r="B2476" t="s">
        <v>926</v>
      </c>
      <c r="C2476" t="s">
        <v>123</v>
      </c>
      <c r="D2476" t="s">
        <v>65</v>
      </c>
      <c r="E2476" t="s">
        <v>1681</v>
      </c>
      <c r="F2476" s="13">
        <v>1</v>
      </c>
      <c r="G2476" s="14">
        <v>2355.2800000000002</v>
      </c>
      <c r="H2476" s="13">
        <v>137</v>
      </c>
      <c r="I2476" t="s">
        <v>76</v>
      </c>
    </row>
    <row r="2477" spans="1:9" x14ac:dyDescent="0.3">
      <c r="A2477">
        <v>5552</v>
      </c>
      <c r="B2477" t="s">
        <v>972</v>
      </c>
      <c r="C2477" t="s">
        <v>137</v>
      </c>
      <c r="D2477" t="s">
        <v>64</v>
      </c>
      <c r="E2477" t="s">
        <v>1681</v>
      </c>
      <c r="F2477" s="13">
        <v>1</v>
      </c>
      <c r="G2477" s="14">
        <v>1953.11</v>
      </c>
      <c r="H2477" s="13">
        <v>137</v>
      </c>
      <c r="I2477" t="s">
        <v>76</v>
      </c>
    </row>
    <row r="2478" spans="1:9" x14ac:dyDescent="0.3">
      <c r="A2478">
        <v>6048</v>
      </c>
      <c r="B2478" t="s">
        <v>1685</v>
      </c>
      <c r="C2478" t="s">
        <v>137</v>
      </c>
      <c r="D2478" t="s">
        <v>64</v>
      </c>
      <c r="E2478" t="s">
        <v>1681</v>
      </c>
      <c r="F2478" s="13">
        <v>3</v>
      </c>
      <c r="G2478" s="14">
        <v>8502.4599999999991</v>
      </c>
      <c r="H2478" s="13">
        <v>137</v>
      </c>
      <c r="I2478" t="s">
        <v>76</v>
      </c>
    </row>
    <row r="2479" spans="1:9" x14ac:dyDescent="0.3">
      <c r="A2479">
        <v>6482</v>
      </c>
      <c r="B2479" t="s">
        <v>1686</v>
      </c>
      <c r="C2479" t="s">
        <v>123</v>
      </c>
      <c r="D2479" t="s">
        <v>65</v>
      </c>
      <c r="E2479" t="s">
        <v>1681</v>
      </c>
      <c r="F2479" s="13">
        <v>2</v>
      </c>
      <c r="G2479" s="14">
        <v>7794.87</v>
      </c>
      <c r="H2479" s="13">
        <v>137</v>
      </c>
      <c r="I2479" t="s">
        <v>76</v>
      </c>
    </row>
    <row r="2480" spans="1:9" x14ac:dyDescent="0.3">
      <c r="A2480">
        <v>6891</v>
      </c>
      <c r="B2480" t="s">
        <v>1038</v>
      </c>
      <c r="C2480" t="s">
        <v>114</v>
      </c>
      <c r="D2480" t="s">
        <v>66</v>
      </c>
      <c r="E2480" t="s">
        <v>1681</v>
      </c>
      <c r="F2480" s="13">
        <v>2</v>
      </c>
      <c r="G2480" s="14">
        <v>6229.9</v>
      </c>
      <c r="H2480" s="13">
        <v>137</v>
      </c>
      <c r="I2480" t="s">
        <v>76</v>
      </c>
    </row>
    <row r="2481" spans="1:9" x14ac:dyDescent="0.3">
      <c r="A2481">
        <v>6934</v>
      </c>
      <c r="B2481" t="s">
        <v>1687</v>
      </c>
      <c r="C2481" t="s">
        <v>249</v>
      </c>
      <c r="D2481" t="s">
        <v>67</v>
      </c>
      <c r="E2481" t="s">
        <v>1681</v>
      </c>
      <c r="F2481" s="13">
        <v>1</v>
      </c>
      <c r="G2481" s="14">
        <v>3728.02</v>
      </c>
      <c r="H2481" s="13">
        <v>137</v>
      </c>
      <c r="I2481" t="s">
        <v>76</v>
      </c>
    </row>
    <row r="2482" spans="1:9" x14ac:dyDescent="0.3">
      <c r="A2482">
        <v>7602</v>
      </c>
      <c r="B2482" t="s">
        <v>1688</v>
      </c>
      <c r="C2482" t="s">
        <v>100</v>
      </c>
      <c r="D2482" t="s">
        <v>66</v>
      </c>
      <c r="E2482" t="s">
        <v>1681</v>
      </c>
      <c r="F2482" s="13">
        <v>6</v>
      </c>
      <c r="G2482" s="14">
        <v>18768.560000000001</v>
      </c>
      <c r="H2482" s="13">
        <v>137</v>
      </c>
      <c r="I2482" t="s">
        <v>76</v>
      </c>
    </row>
    <row r="2483" spans="1:9" x14ac:dyDescent="0.3">
      <c r="A2483">
        <v>7881</v>
      </c>
      <c r="B2483" t="s">
        <v>169</v>
      </c>
      <c r="C2483" t="s">
        <v>123</v>
      </c>
      <c r="D2483" t="s">
        <v>65</v>
      </c>
      <c r="E2483" t="s">
        <v>1681</v>
      </c>
      <c r="F2483" s="13">
        <v>3</v>
      </c>
      <c r="G2483" s="14">
        <v>5635.53</v>
      </c>
      <c r="H2483" s="13">
        <v>137</v>
      </c>
      <c r="I2483" t="s">
        <v>76</v>
      </c>
    </row>
    <row r="2484" spans="1:9" x14ac:dyDescent="0.3">
      <c r="A2484">
        <v>275</v>
      </c>
      <c r="B2484" t="s">
        <v>1689</v>
      </c>
      <c r="C2484" t="s">
        <v>249</v>
      </c>
      <c r="D2484" t="s">
        <v>67</v>
      </c>
      <c r="E2484" t="s">
        <v>1690</v>
      </c>
      <c r="F2484" s="13">
        <v>3</v>
      </c>
      <c r="G2484" s="14">
        <v>5014.7299999999996</v>
      </c>
      <c r="H2484" s="13">
        <v>136</v>
      </c>
      <c r="I2484" t="s">
        <v>76</v>
      </c>
    </row>
    <row r="2485" spans="1:9" x14ac:dyDescent="0.3">
      <c r="A2485">
        <v>450</v>
      </c>
      <c r="B2485" t="s">
        <v>382</v>
      </c>
      <c r="C2485" t="s">
        <v>95</v>
      </c>
      <c r="D2485" t="s">
        <v>65</v>
      </c>
      <c r="E2485" t="s">
        <v>1690</v>
      </c>
      <c r="F2485" s="13">
        <v>2</v>
      </c>
      <c r="G2485" s="14">
        <v>3230.56</v>
      </c>
      <c r="H2485" s="13">
        <v>136</v>
      </c>
      <c r="I2485" t="s">
        <v>76</v>
      </c>
    </row>
    <row r="2486" spans="1:9" x14ac:dyDescent="0.3">
      <c r="A2486">
        <v>647</v>
      </c>
      <c r="B2486" t="s">
        <v>1208</v>
      </c>
      <c r="C2486" t="s">
        <v>137</v>
      </c>
      <c r="D2486" t="s">
        <v>64</v>
      </c>
      <c r="E2486" t="s">
        <v>1690</v>
      </c>
      <c r="F2486" s="13">
        <v>2</v>
      </c>
      <c r="G2486" s="14">
        <v>12544</v>
      </c>
      <c r="H2486" s="13">
        <v>136</v>
      </c>
      <c r="I2486" t="s">
        <v>76</v>
      </c>
    </row>
    <row r="2487" spans="1:9" x14ac:dyDescent="0.3">
      <c r="A2487">
        <v>1241</v>
      </c>
      <c r="B2487" t="s">
        <v>1691</v>
      </c>
      <c r="C2487" t="s">
        <v>92</v>
      </c>
      <c r="D2487" t="s">
        <v>64</v>
      </c>
      <c r="E2487" t="s">
        <v>1690</v>
      </c>
      <c r="F2487" s="13">
        <v>1</v>
      </c>
      <c r="G2487" s="14">
        <v>266.19</v>
      </c>
      <c r="H2487" s="13">
        <v>136</v>
      </c>
      <c r="I2487" t="s">
        <v>76</v>
      </c>
    </row>
    <row r="2488" spans="1:9" x14ac:dyDescent="0.3">
      <c r="A2488">
        <v>1907</v>
      </c>
      <c r="B2488" t="s">
        <v>1025</v>
      </c>
      <c r="C2488" t="s">
        <v>90</v>
      </c>
      <c r="D2488" t="s">
        <v>66</v>
      </c>
      <c r="E2488" t="s">
        <v>1690</v>
      </c>
      <c r="F2488" s="13">
        <v>1</v>
      </c>
      <c r="G2488" s="14">
        <v>2923.2</v>
      </c>
      <c r="H2488" s="13">
        <v>136</v>
      </c>
      <c r="I2488" t="s">
        <v>76</v>
      </c>
    </row>
    <row r="2489" spans="1:9" x14ac:dyDescent="0.3">
      <c r="A2489">
        <v>2233</v>
      </c>
      <c r="B2489" t="s">
        <v>1692</v>
      </c>
      <c r="C2489" t="s">
        <v>92</v>
      </c>
      <c r="D2489" t="s">
        <v>64</v>
      </c>
      <c r="E2489" t="s">
        <v>1690</v>
      </c>
      <c r="F2489" s="13">
        <v>2</v>
      </c>
      <c r="G2489" s="14">
        <v>7590.87</v>
      </c>
      <c r="H2489" s="13">
        <v>136</v>
      </c>
      <c r="I2489" t="s">
        <v>76</v>
      </c>
    </row>
    <row r="2490" spans="1:9" x14ac:dyDescent="0.3">
      <c r="A2490">
        <v>2971</v>
      </c>
      <c r="B2490" t="s">
        <v>1693</v>
      </c>
      <c r="C2490" t="s">
        <v>123</v>
      </c>
      <c r="D2490" t="s">
        <v>65</v>
      </c>
      <c r="E2490" t="s">
        <v>1690</v>
      </c>
      <c r="F2490" s="13">
        <v>2</v>
      </c>
      <c r="G2490" s="14">
        <v>4657.0200000000004</v>
      </c>
      <c r="H2490" s="13">
        <v>136</v>
      </c>
      <c r="I2490" t="s">
        <v>76</v>
      </c>
    </row>
    <row r="2491" spans="1:9" x14ac:dyDescent="0.3">
      <c r="A2491">
        <v>5601</v>
      </c>
      <c r="B2491" t="s">
        <v>1694</v>
      </c>
      <c r="C2491" t="s">
        <v>133</v>
      </c>
      <c r="D2491" t="s">
        <v>64</v>
      </c>
      <c r="E2491" t="s">
        <v>1690</v>
      </c>
      <c r="F2491" s="13">
        <v>2</v>
      </c>
      <c r="G2491" s="14">
        <v>1110.57</v>
      </c>
      <c r="H2491" s="13">
        <v>136</v>
      </c>
      <c r="I2491" t="s">
        <v>76</v>
      </c>
    </row>
    <row r="2492" spans="1:9" x14ac:dyDescent="0.3">
      <c r="A2492">
        <v>5829</v>
      </c>
      <c r="B2492" t="s">
        <v>252</v>
      </c>
      <c r="C2492" t="s">
        <v>137</v>
      </c>
      <c r="D2492" t="s">
        <v>64</v>
      </c>
      <c r="E2492" t="s">
        <v>1690</v>
      </c>
      <c r="F2492" s="13">
        <v>1</v>
      </c>
      <c r="G2492" s="14">
        <v>234.28</v>
      </c>
      <c r="H2492" s="13">
        <v>136</v>
      </c>
      <c r="I2492" t="s">
        <v>76</v>
      </c>
    </row>
    <row r="2493" spans="1:9" x14ac:dyDescent="0.3">
      <c r="A2493">
        <v>6688</v>
      </c>
      <c r="B2493" t="s">
        <v>1695</v>
      </c>
      <c r="C2493" t="s">
        <v>114</v>
      </c>
      <c r="D2493" t="s">
        <v>66</v>
      </c>
      <c r="E2493" t="s">
        <v>1690</v>
      </c>
      <c r="F2493" s="13">
        <v>2</v>
      </c>
      <c r="G2493" s="14">
        <v>11381.27</v>
      </c>
      <c r="H2493" s="13">
        <v>136</v>
      </c>
      <c r="I2493" t="s">
        <v>76</v>
      </c>
    </row>
    <row r="2494" spans="1:9" x14ac:dyDescent="0.3">
      <c r="A2494">
        <v>6902</v>
      </c>
      <c r="B2494" t="s">
        <v>1696</v>
      </c>
      <c r="C2494" t="s">
        <v>95</v>
      </c>
      <c r="D2494" t="s">
        <v>65</v>
      </c>
      <c r="E2494" t="s">
        <v>1690</v>
      </c>
      <c r="F2494" s="13">
        <v>7</v>
      </c>
      <c r="G2494" s="14">
        <v>16237.23</v>
      </c>
      <c r="H2494" s="13">
        <v>136</v>
      </c>
      <c r="I2494" t="s">
        <v>76</v>
      </c>
    </row>
    <row r="2495" spans="1:9" x14ac:dyDescent="0.3">
      <c r="A2495">
        <v>6987</v>
      </c>
      <c r="B2495" t="s">
        <v>1697</v>
      </c>
      <c r="C2495" t="s">
        <v>92</v>
      </c>
      <c r="D2495" t="s">
        <v>64</v>
      </c>
      <c r="E2495" t="s">
        <v>1690</v>
      </c>
      <c r="F2495" s="13">
        <v>2</v>
      </c>
      <c r="G2495" s="14">
        <v>1873.1</v>
      </c>
      <c r="H2495" s="13">
        <v>136</v>
      </c>
      <c r="I2495" t="s">
        <v>76</v>
      </c>
    </row>
    <row r="2496" spans="1:9" x14ac:dyDescent="0.3">
      <c r="A2496">
        <v>7739</v>
      </c>
      <c r="B2496" t="s">
        <v>1698</v>
      </c>
      <c r="C2496" t="s">
        <v>133</v>
      </c>
      <c r="D2496" t="s">
        <v>64</v>
      </c>
      <c r="E2496" t="s">
        <v>1690</v>
      </c>
      <c r="F2496" s="13">
        <v>1</v>
      </c>
      <c r="G2496" s="14">
        <v>1669.69</v>
      </c>
      <c r="H2496" s="13">
        <v>136</v>
      </c>
      <c r="I2496" t="s">
        <v>76</v>
      </c>
    </row>
    <row r="2497" spans="1:9" x14ac:dyDescent="0.3">
      <c r="A2497">
        <v>8270</v>
      </c>
      <c r="B2497" t="s">
        <v>1699</v>
      </c>
      <c r="C2497" t="s">
        <v>249</v>
      </c>
      <c r="D2497" t="s">
        <v>67</v>
      </c>
      <c r="E2497" t="s">
        <v>1690</v>
      </c>
      <c r="F2497" s="13">
        <v>7</v>
      </c>
      <c r="G2497" s="14">
        <v>37512.01</v>
      </c>
      <c r="H2497" s="13">
        <v>136</v>
      </c>
      <c r="I2497" t="s">
        <v>76</v>
      </c>
    </row>
    <row r="2498" spans="1:9" x14ac:dyDescent="0.3">
      <c r="A2498">
        <v>8337</v>
      </c>
      <c r="B2498" t="s">
        <v>1644</v>
      </c>
      <c r="C2498" t="s">
        <v>92</v>
      </c>
      <c r="D2498" t="s">
        <v>64</v>
      </c>
      <c r="E2498" t="s">
        <v>1690</v>
      </c>
      <c r="F2498" s="13">
        <v>1</v>
      </c>
      <c r="G2498" s="14">
        <v>1942.81</v>
      </c>
      <c r="H2498" s="13">
        <v>136</v>
      </c>
      <c r="I2498" t="s">
        <v>76</v>
      </c>
    </row>
    <row r="2499" spans="1:9" x14ac:dyDescent="0.3">
      <c r="A2499">
        <v>8364</v>
      </c>
      <c r="B2499" t="s">
        <v>1700</v>
      </c>
      <c r="C2499" t="s">
        <v>90</v>
      </c>
      <c r="D2499" t="s">
        <v>66</v>
      </c>
      <c r="E2499" t="s">
        <v>1690</v>
      </c>
      <c r="F2499" s="13">
        <v>3</v>
      </c>
      <c r="G2499" s="14">
        <v>5265.21</v>
      </c>
      <c r="H2499" s="13">
        <v>136</v>
      </c>
      <c r="I2499" t="s">
        <v>76</v>
      </c>
    </row>
    <row r="2500" spans="1:9" x14ac:dyDescent="0.3">
      <c r="A2500">
        <v>8370</v>
      </c>
      <c r="B2500" t="s">
        <v>466</v>
      </c>
      <c r="C2500" t="s">
        <v>90</v>
      </c>
      <c r="D2500" t="s">
        <v>66</v>
      </c>
      <c r="E2500" t="s">
        <v>1690</v>
      </c>
      <c r="F2500" s="13">
        <v>3</v>
      </c>
      <c r="G2500" s="14">
        <v>2345.5700000000002</v>
      </c>
      <c r="H2500" s="13">
        <v>136</v>
      </c>
      <c r="I2500" t="s">
        <v>76</v>
      </c>
    </row>
    <row r="2501" spans="1:9" x14ac:dyDescent="0.3">
      <c r="A2501">
        <v>8910</v>
      </c>
      <c r="B2501" t="s">
        <v>371</v>
      </c>
      <c r="C2501" t="s">
        <v>95</v>
      </c>
      <c r="D2501" t="s">
        <v>65</v>
      </c>
      <c r="E2501" t="s">
        <v>1690</v>
      </c>
      <c r="F2501" s="13">
        <v>2</v>
      </c>
      <c r="G2501" s="14">
        <v>6176.47</v>
      </c>
      <c r="H2501" s="13">
        <v>136</v>
      </c>
      <c r="I2501" t="s">
        <v>76</v>
      </c>
    </row>
    <row r="2502" spans="1:9" x14ac:dyDescent="0.3">
      <c r="A2502">
        <v>208</v>
      </c>
      <c r="B2502" t="s">
        <v>333</v>
      </c>
      <c r="C2502" t="s">
        <v>92</v>
      </c>
      <c r="D2502" t="s">
        <v>64</v>
      </c>
      <c r="E2502" t="s">
        <v>1701</v>
      </c>
      <c r="F2502" s="13">
        <v>3</v>
      </c>
      <c r="G2502" s="14">
        <v>4367.3100000000004</v>
      </c>
      <c r="H2502" s="13">
        <v>135</v>
      </c>
      <c r="I2502" t="s">
        <v>76</v>
      </c>
    </row>
    <row r="2503" spans="1:9" x14ac:dyDescent="0.3">
      <c r="A2503">
        <v>2439</v>
      </c>
      <c r="B2503" t="s">
        <v>321</v>
      </c>
      <c r="C2503" t="s">
        <v>123</v>
      </c>
      <c r="D2503" t="s">
        <v>65</v>
      </c>
      <c r="E2503" t="s">
        <v>1701</v>
      </c>
      <c r="F2503" s="13">
        <v>5</v>
      </c>
      <c r="G2503" s="14">
        <v>8502.4599999999991</v>
      </c>
      <c r="H2503" s="13">
        <v>135</v>
      </c>
      <c r="I2503" t="s">
        <v>76</v>
      </c>
    </row>
    <row r="2504" spans="1:9" x14ac:dyDescent="0.3">
      <c r="A2504">
        <v>2478</v>
      </c>
      <c r="B2504" t="s">
        <v>1702</v>
      </c>
      <c r="C2504" t="s">
        <v>90</v>
      </c>
      <c r="D2504" t="s">
        <v>66</v>
      </c>
      <c r="E2504" t="s">
        <v>1701</v>
      </c>
      <c r="F2504" s="13">
        <v>5</v>
      </c>
      <c r="G2504" s="14">
        <v>17981.78</v>
      </c>
      <c r="H2504" s="13">
        <v>135</v>
      </c>
      <c r="I2504" t="s">
        <v>76</v>
      </c>
    </row>
    <row r="2505" spans="1:9" x14ac:dyDescent="0.3">
      <c r="A2505">
        <v>3661</v>
      </c>
      <c r="B2505" t="s">
        <v>534</v>
      </c>
      <c r="C2505" t="s">
        <v>100</v>
      </c>
      <c r="D2505" t="s">
        <v>66</v>
      </c>
      <c r="E2505" t="s">
        <v>1701</v>
      </c>
      <c r="F2505" s="13">
        <v>1</v>
      </c>
      <c r="G2505" s="14">
        <v>1329.26</v>
      </c>
      <c r="H2505" s="13">
        <v>135</v>
      </c>
      <c r="I2505" t="s">
        <v>76</v>
      </c>
    </row>
    <row r="2506" spans="1:9" x14ac:dyDescent="0.3">
      <c r="A2506">
        <v>3807</v>
      </c>
      <c r="B2506" t="s">
        <v>1703</v>
      </c>
      <c r="C2506" t="s">
        <v>121</v>
      </c>
      <c r="D2506" t="s">
        <v>67</v>
      </c>
      <c r="E2506" t="s">
        <v>1701</v>
      </c>
      <c r="F2506" s="13">
        <v>3</v>
      </c>
      <c r="G2506" s="14">
        <v>1456.08</v>
      </c>
      <c r="H2506" s="13">
        <v>135</v>
      </c>
      <c r="I2506" t="s">
        <v>76</v>
      </c>
    </row>
    <row r="2507" spans="1:9" x14ac:dyDescent="0.3">
      <c r="A2507">
        <v>3851</v>
      </c>
      <c r="B2507" t="s">
        <v>1704</v>
      </c>
      <c r="C2507" t="s">
        <v>92</v>
      </c>
      <c r="D2507" t="s">
        <v>64</v>
      </c>
      <c r="E2507" t="s">
        <v>1701</v>
      </c>
      <c r="F2507" s="13">
        <v>1</v>
      </c>
      <c r="G2507" s="14">
        <v>4433.32</v>
      </c>
      <c r="H2507" s="13">
        <v>135</v>
      </c>
      <c r="I2507" t="s">
        <v>76</v>
      </c>
    </row>
    <row r="2508" spans="1:9" x14ac:dyDescent="0.3">
      <c r="A2508">
        <v>4247</v>
      </c>
      <c r="B2508" t="s">
        <v>494</v>
      </c>
      <c r="C2508" t="s">
        <v>95</v>
      </c>
      <c r="D2508" t="s">
        <v>65</v>
      </c>
      <c r="E2508" t="s">
        <v>1701</v>
      </c>
      <c r="F2508" s="13">
        <v>1</v>
      </c>
      <c r="G2508" s="14">
        <v>4211.45</v>
      </c>
      <c r="H2508" s="13">
        <v>135</v>
      </c>
      <c r="I2508" t="s">
        <v>76</v>
      </c>
    </row>
    <row r="2509" spans="1:9" x14ac:dyDescent="0.3">
      <c r="A2509">
        <v>4442</v>
      </c>
      <c r="B2509" t="s">
        <v>606</v>
      </c>
      <c r="C2509" t="s">
        <v>123</v>
      </c>
      <c r="D2509" t="s">
        <v>65</v>
      </c>
      <c r="E2509" t="s">
        <v>1701</v>
      </c>
      <c r="F2509" s="13">
        <v>2</v>
      </c>
      <c r="G2509" s="14">
        <v>2570.0500000000002</v>
      </c>
      <c r="H2509" s="13">
        <v>135</v>
      </c>
      <c r="I2509" t="s">
        <v>76</v>
      </c>
    </row>
    <row r="2510" spans="1:9" x14ac:dyDescent="0.3">
      <c r="A2510">
        <v>4750</v>
      </c>
      <c r="B2510" t="s">
        <v>199</v>
      </c>
      <c r="C2510" t="s">
        <v>137</v>
      </c>
      <c r="D2510" t="s">
        <v>64</v>
      </c>
      <c r="E2510" t="s">
        <v>1701</v>
      </c>
      <c r="F2510" s="13">
        <v>1</v>
      </c>
      <c r="G2510" s="14">
        <v>170.63</v>
      </c>
      <c r="H2510" s="13">
        <v>135</v>
      </c>
      <c r="I2510" t="s">
        <v>76</v>
      </c>
    </row>
    <row r="2511" spans="1:9" x14ac:dyDescent="0.3">
      <c r="A2511">
        <v>5278</v>
      </c>
      <c r="B2511" t="s">
        <v>1705</v>
      </c>
      <c r="C2511" t="s">
        <v>92</v>
      </c>
      <c r="D2511" t="s">
        <v>64</v>
      </c>
      <c r="E2511" t="s">
        <v>1701</v>
      </c>
      <c r="F2511" s="13">
        <v>1</v>
      </c>
      <c r="G2511" s="14">
        <v>2279.4699999999998</v>
      </c>
      <c r="H2511" s="13">
        <v>135</v>
      </c>
      <c r="I2511" t="s">
        <v>76</v>
      </c>
    </row>
    <row r="2512" spans="1:9" x14ac:dyDescent="0.3">
      <c r="A2512">
        <v>5542</v>
      </c>
      <c r="B2512" t="s">
        <v>1025</v>
      </c>
      <c r="C2512" t="s">
        <v>103</v>
      </c>
      <c r="D2512" t="s">
        <v>67</v>
      </c>
      <c r="E2512" t="s">
        <v>1701</v>
      </c>
      <c r="F2512" s="13">
        <v>5</v>
      </c>
      <c r="G2512" s="14">
        <v>6696.48</v>
      </c>
      <c r="H2512" s="13">
        <v>135</v>
      </c>
      <c r="I2512" t="s">
        <v>76</v>
      </c>
    </row>
    <row r="2513" spans="1:9" x14ac:dyDescent="0.3">
      <c r="A2513">
        <v>5798</v>
      </c>
      <c r="B2513" t="s">
        <v>1025</v>
      </c>
      <c r="C2513" t="s">
        <v>97</v>
      </c>
      <c r="D2513" t="s">
        <v>65</v>
      </c>
      <c r="E2513" t="s">
        <v>1701</v>
      </c>
      <c r="F2513" s="13">
        <v>2</v>
      </c>
      <c r="G2513" s="14">
        <v>8800.59</v>
      </c>
      <c r="H2513" s="13">
        <v>135</v>
      </c>
      <c r="I2513" t="s">
        <v>76</v>
      </c>
    </row>
    <row r="2514" spans="1:9" x14ac:dyDescent="0.3">
      <c r="A2514">
        <v>6084</v>
      </c>
      <c r="B2514" t="s">
        <v>1614</v>
      </c>
      <c r="C2514" t="s">
        <v>103</v>
      </c>
      <c r="D2514" t="s">
        <v>67</v>
      </c>
      <c r="E2514" t="s">
        <v>1701</v>
      </c>
      <c r="F2514" s="13">
        <v>2</v>
      </c>
      <c r="G2514" s="14">
        <v>3462.23</v>
      </c>
      <c r="H2514" s="13">
        <v>135</v>
      </c>
      <c r="I2514" t="s">
        <v>76</v>
      </c>
    </row>
    <row r="2515" spans="1:9" x14ac:dyDescent="0.3">
      <c r="A2515">
        <v>6334</v>
      </c>
      <c r="B2515" t="s">
        <v>243</v>
      </c>
      <c r="C2515" t="s">
        <v>92</v>
      </c>
      <c r="D2515" t="s">
        <v>64</v>
      </c>
      <c r="E2515" t="s">
        <v>1701</v>
      </c>
      <c r="F2515" s="13">
        <v>2</v>
      </c>
      <c r="G2515" s="14">
        <v>4688.51</v>
      </c>
      <c r="H2515" s="13">
        <v>135</v>
      </c>
      <c r="I2515" t="s">
        <v>76</v>
      </c>
    </row>
    <row r="2516" spans="1:9" x14ac:dyDescent="0.3">
      <c r="A2516">
        <v>6533</v>
      </c>
      <c r="B2516" t="s">
        <v>1706</v>
      </c>
      <c r="C2516" t="s">
        <v>97</v>
      </c>
      <c r="D2516" t="s">
        <v>65</v>
      </c>
      <c r="E2516" t="s">
        <v>1701</v>
      </c>
      <c r="F2516" s="13">
        <v>2</v>
      </c>
      <c r="G2516" s="14">
        <v>6830.41</v>
      </c>
      <c r="H2516" s="13">
        <v>135</v>
      </c>
      <c r="I2516" t="s">
        <v>76</v>
      </c>
    </row>
    <row r="2517" spans="1:9" x14ac:dyDescent="0.3">
      <c r="A2517">
        <v>6738</v>
      </c>
      <c r="B2517" t="s">
        <v>297</v>
      </c>
      <c r="C2517" t="s">
        <v>103</v>
      </c>
      <c r="D2517" t="s">
        <v>67</v>
      </c>
      <c r="E2517" t="s">
        <v>1701</v>
      </c>
      <c r="F2517" s="13">
        <v>2</v>
      </c>
      <c r="G2517" s="14">
        <v>4734.3</v>
      </c>
      <c r="H2517" s="13">
        <v>135</v>
      </c>
      <c r="I2517" t="s">
        <v>76</v>
      </c>
    </row>
    <row r="2518" spans="1:9" x14ac:dyDescent="0.3">
      <c r="A2518">
        <v>7380</v>
      </c>
      <c r="B2518" t="s">
        <v>382</v>
      </c>
      <c r="C2518" t="s">
        <v>137</v>
      </c>
      <c r="D2518" t="s">
        <v>64</v>
      </c>
      <c r="E2518" t="s">
        <v>1701</v>
      </c>
      <c r="F2518" s="13">
        <v>3</v>
      </c>
      <c r="G2518" s="14">
        <v>3255.04</v>
      </c>
      <c r="H2518" s="13">
        <v>135</v>
      </c>
      <c r="I2518" t="s">
        <v>76</v>
      </c>
    </row>
    <row r="2519" spans="1:9" x14ac:dyDescent="0.3">
      <c r="A2519">
        <v>8247</v>
      </c>
      <c r="B2519" t="s">
        <v>1707</v>
      </c>
      <c r="C2519" t="s">
        <v>100</v>
      </c>
      <c r="D2519" t="s">
        <v>66</v>
      </c>
      <c r="E2519" t="s">
        <v>1701</v>
      </c>
      <c r="F2519" s="13">
        <v>1</v>
      </c>
      <c r="G2519" s="14">
        <v>507.87</v>
      </c>
      <c r="H2519" s="13">
        <v>135</v>
      </c>
      <c r="I2519" t="s">
        <v>76</v>
      </c>
    </row>
    <row r="2520" spans="1:9" x14ac:dyDescent="0.3">
      <c r="A2520">
        <v>8450</v>
      </c>
      <c r="B2520" t="s">
        <v>283</v>
      </c>
      <c r="C2520" t="s">
        <v>123</v>
      </c>
      <c r="D2520" t="s">
        <v>65</v>
      </c>
      <c r="E2520" t="s">
        <v>1701</v>
      </c>
      <c r="F2520" s="13">
        <v>1</v>
      </c>
      <c r="G2520" s="14">
        <v>553.09</v>
      </c>
      <c r="H2520" s="13">
        <v>135</v>
      </c>
      <c r="I2520" t="s">
        <v>76</v>
      </c>
    </row>
    <row r="2521" spans="1:9" x14ac:dyDescent="0.3">
      <c r="A2521">
        <v>8491</v>
      </c>
      <c r="B2521" t="s">
        <v>1084</v>
      </c>
      <c r="C2521" t="s">
        <v>97</v>
      </c>
      <c r="D2521" t="s">
        <v>65</v>
      </c>
      <c r="E2521" t="s">
        <v>1701</v>
      </c>
      <c r="F2521" s="13">
        <v>1</v>
      </c>
      <c r="G2521" s="14">
        <v>2018.51</v>
      </c>
      <c r="H2521" s="13">
        <v>135</v>
      </c>
      <c r="I2521" t="s">
        <v>76</v>
      </c>
    </row>
    <row r="2522" spans="1:9" x14ac:dyDescent="0.3">
      <c r="A2522">
        <v>696</v>
      </c>
      <c r="B2522" t="s">
        <v>438</v>
      </c>
      <c r="C2522" t="s">
        <v>133</v>
      </c>
      <c r="D2522" t="s">
        <v>64</v>
      </c>
      <c r="E2522" t="s">
        <v>1708</v>
      </c>
      <c r="F2522" s="13">
        <v>1</v>
      </c>
      <c r="G2522" s="14">
        <v>86.92</v>
      </c>
      <c r="H2522" s="13">
        <v>134</v>
      </c>
      <c r="I2522" t="s">
        <v>76</v>
      </c>
    </row>
    <row r="2523" spans="1:9" x14ac:dyDescent="0.3">
      <c r="A2523">
        <v>1468</v>
      </c>
      <c r="B2523" t="s">
        <v>423</v>
      </c>
      <c r="C2523" t="s">
        <v>137</v>
      </c>
      <c r="D2523" t="s">
        <v>64</v>
      </c>
      <c r="E2523" t="s">
        <v>1708</v>
      </c>
      <c r="F2523" s="13">
        <v>2</v>
      </c>
      <c r="G2523" s="14">
        <v>2739.06</v>
      </c>
      <c r="H2523" s="13">
        <v>134</v>
      </c>
      <c r="I2523" t="s">
        <v>76</v>
      </c>
    </row>
    <row r="2524" spans="1:9" x14ac:dyDescent="0.3">
      <c r="A2524">
        <v>1733</v>
      </c>
      <c r="B2524" t="s">
        <v>1709</v>
      </c>
      <c r="C2524" t="s">
        <v>90</v>
      </c>
      <c r="D2524" t="s">
        <v>66</v>
      </c>
      <c r="E2524" t="s">
        <v>1708</v>
      </c>
      <c r="F2524" s="13">
        <v>1</v>
      </c>
      <c r="G2524" s="14">
        <v>324.94</v>
      </c>
      <c r="H2524" s="13">
        <v>134</v>
      </c>
      <c r="I2524" t="s">
        <v>76</v>
      </c>
    </row>
    <row r="2525" spans="1:9" x14ac:dyDescent="0.3">
      <c r="A2525">
        <v>2303</v>
      </c>
      <c r="B2525" t="s">
        <v>162</v>
      </c>
      <c r="C2525" t="s">
        <v>87</v>
      </c>
      <c r="D2525" t="s">
        <v>64</v>
      </c>
      <c r="E2525" t="s">
        <v>1708</v>
      </c>
      <c r="F2525" s="13">
        <v>1</v>
      </c>
      <c r="G2525" s="14">
        <v>2013.44</v>
      </c>
      <c r="H2525" s="13">
        <v>134</v>
      </c>
      <c r="I2525" t="s">
        <v>76</v>
      </c>
    </row>
    <row r="2526" spans="1:9" x14ac:dyDescent="0.3">
      <c r="A2526">
        <v>2611</v>
      </c>
      <c r="B2526" t="s">
        <v>1710</v>
      </c>
      <c r="C2526" t="s">
        <v>92</v>
      </c>
      <c r="D2526" t="s">
        <v>64</v>
      </c>
      <c r="E2526" t="s">
        <v>1708</v>
      </c>
      <c r="F2526" s="13">
        <v>2</v>
      </c>
      <c r="G2526" s="14">
        <v>1589.86</v>
      </c>
      <c r="H2526" s="13">
        <v>134</v>
      </c>
      <c r="I2526" t="s">
        <v>76</v>
      </c>
    </row>
    <row r="2527" spans="1:9" x14ac:dyDescent="0.3">
      <c r="A2527">
        <v>4082</v>
      </c>
      <c r="B2527" t="s">
        <v>606</v>
      </c>
      <c r="C2527" t="s">
        <v>123</v>
      </c>
      <c r="D2527" t="s">
        <v>65</v>
      </c>
      <c r="E2527" t="s">
        <v>1708</v>
      </c>
      <c r="F2527" s="13">
        <v>3</v>
      </c>
      <c r="G2527" s="14">
        <v>8073.99</v>
      </c>
      <c r="H2527" s="13">
        <v>134</v>
      </c>
      <c r="I2527" t="s">
        <v>76</v>
      </c>
    </row>
    <row r="2528" spans="1:9" x14ac:dyDescent="0.3">
      <c r="A2528">
        <v>5319</v>
      </c>
      <c r="B2528" t="s">
        <v>1711</v>
      </c>
      <c r="C2528" t="s">
        <v>97</v>
      </c>
      <c r="D2528" t="s">
        <v>65</v>
      </c>
      <c r="E2528" t="s">
        <v>1708</v>
      </c>
      <c r="F2528" s="13">
        <v>1</v>
      </c>
      <c r="G2528" s="14">
        <v>859.16</v>
      </c>
      <c r="H2528" s="13">
        <v>134</v>
      </c>
      <c r="I2528" t="s">
        <v>76</v>
      </c>
    </row>
    <row r="2529" spans="1:9" x14ac:dyDescent="0.3">
      <c r="A2529">
        <v>6126</v>
      </c>
      <c r="B2529" t="s">
        <v>1712</v>
      </c>
      <c r="C2529" t="s">
        <v>133</v>
      </c>
      <c r="D2529" t="s">
        <v>64</v>
      </c>
      <c r="E2529" t="s">
        <v>1708</v>
      </c>
      <c r="F2529" s="13">
        <v>2</v>
      </c>
      <c r="G2529" s="14">
        <v>11062.73</v>
      </c>
      <c r="H2529" s="13">
        <v>134</v>
      </c>
      <c r="I2529" t="s">
        <v>76</v>
      </c>
    </row>
    <row r="2530" spans="1:9" x14ac:dyDescent="0.3">
      <c r="A2530">
        <v>6675</v>
      </c>
      <c r="B2530" t="s">
        <v>116</v>
      </c>
      <c r="C2530" t="s">
        <v>92</v>
      </c>
      <c r="D2530" t="s">
        <v>64</v>
      </c>
      <c r="E2530" t="s">
        <v>1708</v>
      </c>
      <c r="F2530" s="13">
        <v>1</v>
      </c>
      <c r="G2530" s="14">
        <v>60.43</v>
      </c>
      <c r="H2530" s="13">
        <v>134</v>
      </c>
      <c r="I2530" t="s">
        <v>76</v>
      </c>
    </row>
    <row r="2531" spans="1:9" x14ac:dyDescent="0.3">
      <c r="A2531">
        <v>6992</v>
      </c>
      <c r="B2531" t="s">
        <v>888</v>
      </c>
      <c r="C2531" t="s">
        <v>133</v>
      </c>
      <c r="D2531" t="s">
        <v>64</v>
      </c>
      <c r="E2531" t="s">
        <v>1708</v>
      </c>
      <c r="F2531" s="13">
        <v>3</v>
      </c>
      <c r="G2531" s="14">
        <v>5564.11</v>
      </c>
      <c r="H2531" s="13">
        <v>134</v>
      </c>
      <c r="I2531" t="s">
        <v>76</v>
      </c>
    </row>
    <row r="2532" spans="1:9" x14ac:dyDescent="0.3">
      <c r="A2532">
        <v>7149</v>
      </c>
      <c r="B2532" t="s">
        <v>1713</v>
      </c>
      <c r="C2532" t="s">
        <v>133</v>
      </c>
      <c r="D2532" t="s">
        <v>64</v>
      </c>
      <c r="E2532" t="s">
        <v>1708</v>
      </c>
      <c r="F2532" s="13">
        <v>3</v>
      </c>
      <c r="G2532" s="14">
        <v>13616.52</v>
      </c>
      <c r="H2532" s="13">
        <v>134</v>
      </c>
      <c r="I2532" t="s">
        <v>76</v>
      </c>
    </row>
    <row r="2533" spans="1:9" x14ac:dyDescent="0.3">
      <c r="A2533">
        <v>7186</v>
      </c>
      <c r="B2533" t="s">
        <v>1714</v>
      </c>
      <c r="C2533" t="s">
        <v>92</v>
      </c>
      <c r="D2533" t="s">
        <v>64</v>
      </c>
      <c r="E2533" t="s">
        <v>1708</v>
      </c>
      <c r="F2533" s="13">
        <v>4</v>
      </c>
      <c r="G2533" s="14">
        <v>8552.26</v>
      </c>
      <c r="H2533" s="13">
        <v>134</v>
      </c>
      <c r="I2533" t="s">
        <v>76</v>
      </c>
    </row>
    <row r="2534" spans="1:9" x14ac:dyDescent="0.3">
      <c r="A2534">
        <v>7316</v>
      </c>
      <c r="B2534" t="s">
        <v>274</v>
      </c>
      <c r="C2534" t="s">
        <v>97</v>
      </c>
      <c r="D2534" t="s">
        <v>65</v>
      </c>
      <c r="E2534" t="s">
        <v>1708</v>
      </c>
      <c r="F2534" s="13">
        <v>6</v>
      </c>
      <c r="G2534" s="14">
        <v>15899.17</v>
      </c>
      <c r="H2534" s="13">
        <v>134</v>
      </c>
      <c r="I2534" t="s">
        <v>76</v>
      </c>
    </row>
    <row r="2535" spans="1:9" x14ac:dyDescent="0.3">
      <c r="A2535">
        <v>7566</v>
      </c>
      <c r="B2535" t="s">
        <v>259</v>
      </c>
      <c r="C2535" t="s">
        <v>133</v>
      </c>
      <c r="D2535" t="s">
        <v>64</v>
      </c>
      <c r="E2535" t="s">
        <v>1708</v>
      </c>
      <c r="F2535" s="13">
        <v>1</v>
      </c>
      <c r="G2535" s="14">
        <v>2320.94</v>
      </c>
      <c r="H2535" s="13">
        <v>134</v>
      </c>
      <c r="I2535" t="s">
        <v>76</v>
      </c>
    </row>
    <row r="2536" spans="1:9" x14ac:dyDescent="0.3">
      <c r="A2536">
        <v>7916</v>
      </c>
      <c r="B2536" t="s">
        <v>142</v>
      </c>
      <c r="C2536" t="s">
        <v>133</v>
      </c>
      <c r="D2536" t="s">
        <v>64</v>
      </c>
      <c r="E2536" t="s">
        <v>1708</v>
      </c>
      <c r="F2536" s="13">
        <v>4</v>
      </c>
      <c r="G2536" s="14">
        <v>8341.65</v>
      </c>
      <c r="H2536" s="13">
        <v>134</v>
      </c>
      <c r="I2536" t="s">
        <v>76</v>
      </c>
    </row>
    <row r="2537" spans="1:9" x14ac:dyDescent="0.3">
      <c r="A2537">
        <v>8041</v>
      </c>
      <c r="B2537" t="s">
        <v>1715</v>
      </c>
      <c r="C2537" t="s">
        <v>97</v>
      </c>
      <c r="D2537" t="s">
        <v>65</v>
      </c>
      <c r="E2537" t="s">
        <v>1708</v>
      </c>
      <c r="F2537" s="13">
        <v>4</v>
      </c>
      <c r="G2537" s="14">
        <v>4024.28</v>
      </c>
      <c r="H2537" s="13">
        <v>134</v>
      </c>
      <c r="I2537" t="s">
        <v>76</v>
      </c>
    </row>
    <row r="2538" spans="1:9" x14ac:dyDescent="0.3">
      <c r="A2538">
        <v>8378</v>
      </c>
      <c r="B2538" t="s">
        <v>606</v>
      </c>
      <c r="C2538" t="s">
        <v>114</v>
      </c>
      <c r="D2538" t="s">
        <v>66</v>
      </c>
      <c r="E2538" t="s">
        <v>1708</v>
      </c>
      <c r="F2538" s="13">
        <v>3</v>
      </c>
      <c r="G2538" s="14">
        <v>7081.73</v>
      </c>
      <c r="H2538" s="13">
        <v>134</v>
      </c>
      <c r="I2538" t="s">
        <v>76</v>
      </c>
    </row>
    <row r="2539" spans="1:9" x14ac:dyDescent="0.3">
      <c r="A2539">
        <v>8858</v>
      </c>
      <c r="B2539" t="s">
        <v>414</v>
      </c>
      <c r="C2539" t="s">
        <v>137</v>
      </c>
      <c r="D2539" t="s">
        <v>64</v>
      </c>
      <c r="E2539" t="s">
        <v>1708</v>
      </c>
      <c r="F2539" s="13">
        <v>6</v>
      </c>
      <c r="G2539" s="14">
        <v>7991.51</v>
      </c>
      <c r="H2539" s="13">
        <v>134</v>
      </c>
      <c r="I2539" t="s">
        <v>76</v>
      </c>
    </row>
    <row r="2540" spans="1:9" x14ac:dyDescent="0.3">
      <c r="A2540">
        <v>8939</v>
      </c>
      <c r="B2540" t="s">
        <v>1716</v>
      </c>
      <c r="C2540" t="s">
        <v>133</v>
      </c>
      <c r="D2540" t="s">
        <v>64</v>
      </c>
      <c r="E2540" t="s">
        <v>1708</v>
      </c>
      <c r="F2540" s="13">
        <v>2</v>
      </c>
      <c r="G2540" s="14">
        <v>867.67</v>
      </c>
      <c r="H2540" s="13">
        <v>134</v>
      </c>
      <c r="I2540" t="s">
        <v>76</v>
      </c>
    </row>
    <row r="2541" spans="1:9" x14ac:dyDescent="0.3">
      <c r="A2541">
        <v>958</v>
      </c>
      <c r="B2541" t="s">
        <v>1717</v>
      </c>
      <c r="C2541" t="s">
        <v>114</v>
      </c>
      <c r="D2541" t="s">
        <v>66</v>
      </c>
      <c r="E2541" t="s">
        <v>1718</v>
      </c>
      <c r="F2541" s="13">
        <v>2</v>
      </c>
      <c r="G2541" s="14">
        <v>7180.05</v>
      </c>
      <c r="H2541" s="13">
        <v>133</v>
      </c>
      <c r="I2541" t="s">
        <v>76</v>
      </c>
    </row>
    <row r="2542" spans="1:9" x14ac:dyDescent="0.3">
      <c r="A2542">
        <v>1109</v>
      </c>
      <c r="B2542" t="s">
        <v>178</v>
      </c>
      <c r="C2542" t="s">
        <v>103</v>
      </c>
      <c r="D2542" t="s">
        <v>67</v>
      </c>
      <c r="E2542" t="s">
        <v>1718</v>
      </c>
      <c r="F2542" s="13">
        <v>2</v>
      </c>
      <c r="G2542" s="14">
        <v>4635.8100000000004</v>
      </c>
      <c r="H2542" s="13">
        <v>133</v>
      </c>
      <c r="I2542" t="s">
        <v>76</v>
      </c>
    </row>
    <row r="2543" spans="1:9" x14ac:dyDescent="0.3">
      <c r="A2543">
        <v>1422</v>
      </c>
      <c r="B2543" t="s">
        <v>460</v>
      </c>
      <c r="C2543" t="s">
        <v>123</v>
      </c>
      <c r="D2543" t="s">
        <v>65</v>
      </c>
      <c r="E2543" t="s">
        <v>1718</v>
      </c>
      <c r="F2543" s="13">
        <v>1</v>
      </c>
      <c r="G2543" s="14">
        <v>1043.52</v>
      </c>
      <c r="H2543" s="13">
        <v>133</v>
      </c>
      <c r="I2543" t="s">
        <v>76</v>
      </c>
    </row>
    <row r="2544" spans="1:9" x14ac:dyDescent="0.3">
      <c r="A2544">
        <v>2482</v>
      </c>
      <c r="B2544" t="s">
        <v>495</v>
      </c>
      <c r="C2544" t="s">
        <v>95</v>
      </c>
      <c r="D2544" t="s">
        <v>65</v>
      </c>
      <c r="E2544" t="s">
        <v>1718</v>
      </c>
      <c r="F2544" s="13">
        <v>1</v>
      </c>
      <c r="G2544" s="14">
        <v>171.08</v>
      </c>
      <c r="H2544" s="13">
        <v>133</v>
      </c>
      <c r="I2544" t="s">
        <v>76</v>
      </c>
    </row>
    <row r="2545" spans="1:9" x14ac:dyDescent="0.3">
      <c r="A2545">
        <v>2569</v>
      </c>
      <c r="B2545" t="s">
        <v>751</v>
      </c>
      <c r="C2545" t="s">
        <v>121</v>
      </c>
      <c r="D2545" t="s">
        <v>67</v>
      </c>
      <c r="E2545" t="s">
        <v>1718</v>
      </c>
      <c r="F2545" s="13">
        <v>2</v>
      </c>
      <c r="G2545" s="14">
        <v>7860</v>
      </c>
      <c r="H2545" s="13">
        <v>133</v>
      </c>
      <c r="I2545" t="s">
        <v>76</v>
      </c>
    </row>
    <row r="2546" spans="1:9" x14ac:dyDescent="0.3">
      <c r="A2546">
        <v>3213</v>
      </c>
      <c r="B2546" t="s">
        <v>505</v>
      </c>
      <c r="C2546" t="s">
        <v>133</v>
      </c>
      <c r="D2546" t="s">
        <v>64</v>
      </c>
      <c r="E2546" t="s">
        <v>1718</v>
      </c>
      <c r="F2546" s="13">
        <v>6</v>
      </c>
      <c r="G2546" s="14">
        <v>12603.16</v>
      </c>
      <c r="H2546" s="13">
        <v>133</v>
      </c>
      <c r="I2546" t="s">
        <v>76</v>
      </c>
    </row>
    <row r="2547" spans="1:9" x14ac:dyDescent="0.3">
      <c r="A2547">
        <v>3417</v>
      </c>
      <c r="B2547" t="s">
        <v>672</v>
      </c>
      <c r="C2547" t="s">
        <v>137</v>
      </c>
      <c r="D2547" t="s">
        <v>64</v>
      </c>
      <c r="E2547" t="s">
        <v>1718</v>
      </c>
      <c r="F2547" s="13">
        <v>3</v>
      </c>
      <c r="G2547" s="14">
        <v>12961.29</v>
      </c>
      <c r="H2547" s="13">
        <v>133</v>
      </c>
      <c r="I2547" t="s">
        <v>76</v>
      </c>
    </row>
    <row r="2548" spans="1:9" x14ac:dyDescent="0.3">
      <c r="A2548">
        <v>3870</v>
      </c>
      <c r="B2548" t="s">
        <v>116</v>
      </c>
      <c r="C2548" t="s">
        <v>123</v>
      </c>
      <c r="D2548" t="s">
        <v>65</v>
      </c>
      <c r="E2548" t="s">
        <v>1718</v>
      </c>
      <c r="F2548" s="13">
        <v>3</v>
      </c>
      <c r="G2548" s="14">
        <v>677.75</v>
      </c>
      <c r="H2548" s="13">
        <v>133</v>
      </c>
      <c r="I2548" t="s">
        <v>76</v>
      </c>
    </row>
    <row r="2549" spans="1:9" x14ac:dyDescent="0.3">
      <c r="A2549">
        <v>4036</v>
      </c>
      <c r="B2549" t="s">
        <v>407</v>
      </c>
      <c r="C2549" t="s">
        <v>87</v>
      </c>
      <c r="D2549" t="s">
        <v>64</v>
      </c>
      <c r="E2549" t="s">
        <v>1718</v>
      </c>
      <c r="F2549" s="13">
        <v>1</v>
      </c>
      <c r="G2549" s="14">
        <v>311.54000000000002</v>
      </c>
      <c r="H2549" s="13">
        <v>133</v>
      </c>
      <c r="I2549" t="s">
        <v>76</v>
      </c>
    </row>
    <row r="2550" spans="1:9" x14ac:dyDescent="0.3">
      <c r="A2550">
        <v>4155</v>
      </c>
      <c r="B2550" t="s">
        <v>1719</v>
      </c>
      <c r="C2550" t="s">
        <v>87</v>
      </c>
      <c r="D2550" t="s">
        <v>64</v>
      </c>
      <c r="E2550" t="s">
        <v>1718</v>
      </c>
      <c r="F2550" s="13">
        <v>7</v>
      </c>
      <c r="G2550" s="14">
        <v>7944.29</v>
      </c>
      <c r="H2550" s="13">
        <v>133</v>
      </c>
      <c r="I2550" t="s">
        <v>76</v>
      </c>
    </row>
    <row r="2551" spans="1:9" x14ac:dyDescent="0.3">
      <c r="A2551">
        <v>4180</v>
      </c>
      <c r="B2551" t="s">
        <v>237</v>
      </c>
      <c r="C2551" t="s">
        <v>137</v>
      </c>
      <c r="D2551" t="s">
        <v>64</v>
      </c>
      <c r="E2551" t="s">
        <v>1718</v>
      </c>
      <c r="F2551" s="13">
        <v>3</v>
      </c>
      <c r="G2551" s="14">
        <v>7347.41</v>
      </c>
      <c r="H2551" s="13">
        <v>133</v>
      </c>
      <c r="I2551" t="s">
        <v>76</v>
      </c>
    </row>
    <row r="2552" spans="1:9" x14ac:dyDescent="0.3">
      <c r="A2552">
        <v>5519</v>
      </c>
      <c r="B2552" t="s">
        <v>1395</v>
      </c>
      <c r="C2552" t="s">
        <v>249</v>
      </c>
      <c r="D2552" t="s">
        <v>67</v>
      </c>
      <c r="E2552" t="s">
        <v>1718</v>
      </c>
      <c r="F2552" s="13">
        <v>2</v>
      </c>
      <c r="G2552" s="14">
        <v>8609.66</v>
      </c>
      <c r="H2552" s="13">
        <v>133</v>
      </c>
      <c r="I2552" t="s">
        <v>76</v>
      </c>
    </row>
    <row r="2553" spans="1:9" x14ac:dyDescent="0.3">
      <c r="A2553">
        <v>6728</v>
      </c>
      <c r="B2553" t="s">
        <v>162</v>
      </c>
      <c r="C2553" t="s">
        <v>90</v>
      </c>
      <c r="D2553" t="s">
        <v>66</v>
      </c>
      <c r="E2553" t="s">
        <v>1718</v>
      </c>
      <c r="F2553" s="13">
        <v>3</v>
      </c>
      <c r="G2553" s="14">
        <v>1814.22</v>
      </c>
      <c r="H2553" s="13">
        <v>133</v>
      </c>
      <c r="I2553" t="s">
        <v>76</v>
      </c>
    </row>
    <row r="2554" spans="1:9" x14ac:dyDescent="0.3">
      <c r="A2554">
        <v>7070</v>
      </c>
      <c r="B2554" t="s">
        <v>519</v>
      </c>
      <c r="C2554" t="s">
        <v>249</v>
      </c>
      <c r="D2554" t="s">
        <v>67</v>
      </c>
      <c r="E2554" t="s">
        <v>1718</v>
      </c>
      <c r="F2554" s="13">
        <v>2</v>
      </c>
      <c r="G2554" s="14">
        <v>2009.04</v>
      </c>
      <c r="H2554" s="13">
        <v>133</v>
      </c>
      <c r="I2554" t="s">
        <v>76</v>
      </c>
    </row>
    <row r="2555" spans="1:9" x14ac:dyDescent="0.3">
      <c r="A2555">
        <v>7370</v>
      </c>
      <c r="B2555" t="s">
        <v>1720</v>
      </c>
      <c r="C2555" t="s">
        <v>133</v>
      </c>
      <c r="D2555" t="s">
        <v>64</v>
      </c>
      <c r="E2555" t="s">
        <v>1718</v>
      </c>
      <c r="F2555" s="13">
        <v>1</v>
      </c>
      <c r="G2555" s="14">
        <v>3639.13</v>
      </c>
      <c r="H2555" s="13">
        <v>133</v>
      </c>
      <c r="I2555" t="s">
        <v>76</v>
      </c>
    </row>
    <row r="2556" spans="1:9" x14ac:dyDescent="0.3">
      <c r="A2556">
        <v>7654</v>
      </c>
      <c r="B2556" t="s">
        <v>89</v>
      </c>
      <c r="C2556" t="s">
        <v>90</v>
      </c>
      <c r="D2556" t="s">
        <v>66</v>
      </c>
      <c r="E2556" t="s">
        <v>1718</v>
      </c>
      <c r="F2556" s="13">
        <v>4</v>
      </c>
      <c r="G2556" s="14">
        <v>8888.2199999999993</v>
      </c>
      <c r="H2556" s="13">
        <v>133</v>
      </c>
      <c r="I2556" t="s">
        <v>76</v>
      </c>
    </row>
    <row r="2557" spans="1:9" x14ac:dyDescent="0.3">
      <c r="A2557">
        <v>8384</v>
      </c>
      <c r="B2557" t="s">
        <v>636</v>
      </c>
      <c r="C2557" t="s">
        <v>114</v>
      </c>
      <c r="D2557" t="s">
        <v>66</v>
      </c>
      <c r="E2557" t="s">
        <v>1718</v>
      </c>
      <c r="F2557" s="13">
        <v>4</v>
      </c>
      <c r="G2557" s="14">
        <v>933.54</v>
      </c>
      <c r="H2557" s="13">
        <v>133</v>
      </c>
      <c r="I2557" t="s">
        <v>76</v>
      </c>
    </row>
    <row r="2558" spans="1:9" x14ac:dyDescent="0.3">
      <c r="A2558">
        <v>463</v>
      </c>
      <c r="B2558" t="s">
        <v>1383</v>
      </c>
      <c r="C2558" t="s">
        <v>114</v>
      </c>
      <c r="D2558" t="s">
        <v>66</v>
      </c>
      <c r="E2558" t="s">
        <v>1721</v>
      </c>
      <c r="F2558" s="13">
        <v>1</v>
      </c>
      <c r="G2558" s="14">
        <v>206.36</v>
      </c>
      <c r="H2558" s="13">
        <v>132</v>
      </c>
      <c r="I2558" t="s">
        <v>76</v>
      </c>
    </row>
    <row r="2559" spans="1:9" x14ac:dyDescent="0.3">
      <c r="A2559">
        <v>1002</v>
      </c>
      <c r="B2559" t="s">
        <v>318</v>
      </c>
      <c r="C2559" t="s">
        <v>90</v>
      </c>
      <c r="D2559" t="s">
        <v>66</v>
      </c>
      <c r="E2559" t="s">
        <v>1721</v>
      </c>
      <c r="F2559" s="13">
        <v>3</v>
      </c>
      <c r="G2559" s="14">
        <v>5955.32</v>
      </c>
      <c r="H2559" s="13">
        <v>132</v>
      </c>
      <c r="I2559" t="s">
        <v>76</v>
      </c>
    </row>
    <row r="2560" spans="1:9" x14ac:dyDescent="0.3">
      <c r="A2560">
        <v>1247</v>
      </c>
      <c r="B2560" t="s">
        <v>149</v>
      </c>
      <c r="C2560" t="s">
        <v>90</v>
      </c>
      <c r="D2560" t="s">
        <v>66</v>
      </c>
      <c r="E2560" t="s">
        <v>1721</v>
      </c>
      <c r="F2560" s="13">
        <v>6</v>
      </c>
      <c r="G2560" s="14">
        <v>11661.59</v>
      </c>
      <c r="H2560" s="13">
        <v>132</v>
      </c>
      <c r="I2560" t="s">
        <v>76</v>
      </c>
    </row>
    <row r="2561" spans="1:9" x14ac:dyDescent="0.3">
      <c r="A2561">
        <v>1323</v>
      </c>
      <c r="B2561" t="s">
        <v>205</v>
      </c>
      <c r="C2561" t="s">
        <v>133</v>
      </c>
      <c r="D2561" t="s">
        <v>64</v>
      </c>
      <c r="E2561" t="s">
        <v>1721</v>
      </c>
      <c r="F2561" s="13">
        <v>1</v>
      </c>
      <c r="G2561" s="14">
        <v>305.51</v>
      </c>
      <c r="H2561" s="13">
        <v>132</v>
      </c>
      <c r="I2561" t="s">
        <v>76</v>
      </c>
    </row>
    <row r="2562" spans="1:9" x14ac:dyDescent="0.3">
      <c r="A2562">
        <v>1352</v>
      </c>
      <c r="B2562" t="s">
        <v>449</v>
      </c>
      <c r="C2562" t="s">
        <v>92</v>
      </c>
      <c r="D2562" t="s">
        <v>64</v>
      </c>
      <c r="E2562" t="s">
        <v>1721</v>
      </c>
      <c r="F2562" s="13">
        <v>2</v>
      </c>
      <c r="G2562" s="14">
        <v>2683.48</v>
      </c>
      <c r="H2562" s="13">
        <v>132</v>
      </c>
      <c r="I2562" t="s">
        <v>76</v>
      </c>
    </row>
    <row r="2563" spans="1:9" x14ac:dyDescent="0.3">
      <c r="A2563">
        <v>3352</v>
      </c>
      <c r="B2563" t="s">
        <v>1722</v>
      </c>
      <c r="C2563" t="s">
        <v>95</v>
      </c>
      <c r="D2563" t="s">
        <v>65</v>
      </c>
      <c r="E2563" t="s">
        <v>1721</v>
      </c>
      <c r="F2563" s="13">
        <v>4</v>
      </c>
      <c r="G2563" s="14">
        <v>3075.52</v>
      </c>
      <c r="H2563" s="13">
        <v>132</v>
      </c>
      <c r="I2563" t="s">
        <v>76</v>
      </c>
    </row>
    <row r="2564" spans="1:9" x14ac:dyDescent="0.3">
      <c r="A2564">
        <v>6759</v>
      </c>
      <c r="B2564" t="s">
        <v>1723</v>
      </c>
      <c r="C2564" t="s">
        <v>87</v>
      </c>
      <c r="D2564" t="s">
        <v>64</v>
      </c>
      <c r="E2564" t="s">
        <v>1721</v>
      </c>
      <c r="F2564" s="13">
        <v>3</v>
      </c>
      <c r="G2564" s="14">
        <v>6778.9</v>
      </c>
      <c r="H2564" s="13">
        <v>132</v>
      </c>
      <c r="I2564" t="s">
        <v>76</v>
      </c>
    </row>
    <row r="2565" spans="1:9" x14ac:dyDescent="0.3">
      <c r="A2565">
        <v>8375</v>
      </c>
      <c r="B2565" t="s">
        <v>99</v>
      </c>
      <c r="C2565" t="s">
        <v>92</v>
      </c>
      <c r="D2565" t="s">
        <v>64</v>
      </c>
      <c r="E2565" t="s">
        <v>1721</v>
      </c>
      <c r="F2565" s="13">
        <v>1</v>
      </c>
      <c r="G2565" s="14">
        <v>1338.26</v>
      </c>
      <c r="H2565" s="13">
        <v>132</v>
      </c>
      <c r="I2565" t="s">
        <v>76</v>
      </c>
    </row>
    <row r="2566" spans="1:9" x14ac:dyDescent="0.3">
      <c r="A2566">
        <v>8604</v>
      </c>
      <c r="B2566" t="s">
        <v>415</v>
      </c>
      <c r="C2566" t="s">
        <v>137</v>
      </c>
      <c r="D2566" t="s">
        <v>64</v>
      </c>
      <c r="E2566" t="s">
        <v>1721</v>
      </c>
      <c r="F2566" s="13">
        <v>4</v>
      </c>
      <c r="G2566" s="14">
        <v>6608.46</v>
      </c>
      <c r="H2566" s="13">
        <v>132</v>
      </c>
      <c r="I2566" t="s">
        <v>76</v>
      </c>
    </row>
    <row r="2567" spans="1:9" x14ac:dyDescent="0.3">
      <c r="A2567">
        <v>8719</v>
      </c>
      <c r="B2567" t="s">
        <v>1724</v>
      </c>
      <c r="C2567" t="s">
        <v>87</v>
      </c>
      <c r="D2567" t="s">
        <v>64</v>
      </c>
      <c r="E2567" t="s">
        <v>1721</v>
      </c>
      <c r="F2567" s="13">
        <v>2</v>
      </c>
      <c r="G2567" s="14">
        <v>1498.58</v>
      </c>
      <c r="H2567" s="13">
        <v>132</v>
      </c>
      <c r="I2567" t="s">
        <v>76</v>
      </c>
    </row>
    <row r="2568" spans="1:9" x14ac:dyDescent="0.3">
      <c r="A2568">
        <v>133</v>
      </c>
      <c r="B2568" t="s">
        <v>167</v>
      </c>
      <c r="C2568" t="s">
        <v>92</v>
      </c>
      <c r="D2568" t="s">
        <v>64</v>
      </c>
      <c r="E2568" t="s">
        <v>1725</v>
      </c>
      <c r="F2568" s="13">
        <v>4</v>
      </c>
      <c r="G2568" s="14">
        <v>7518.18</v>
      </c>
      <c r="H2568" s="13">
        <v>131</v>
      </c>
      <c r="I2568" t="s">
        <v>76</v>
      </c>
    </row>
    <row r="2569" spans="1:9" x14ac:dyDescent="0.3">
      <c r="A2569">
        <v>140</v>
      </c>
      <c r="B2569" t="s">
        <v>295</v>
      </c>
      <c r="C2569" t="s">
        <v>133</v>
      </c>
      <c r="D2569" t="s">
        <v>64</v>
      </c>
      <c r="E2569" t="s">
        <v>1725</v>
      </c>
      <c r="F2569" s="13">
        <v>2</v>
      </c>
      <c r="G2569" s="14">
        <v>1324.97</v>
      </c>
      <c r="H2569" s="13">
        <v>131</v>
      </c>
      <c r="I2569" t="s">
        <v>76</v>
      </c>
    </row>
    <row r="2570" spans="1:9" x14ac:dyDescent="0.3">
      <c r="A2570">
        <v>1736</v>
      </c>
      <c r="B2570" t="s">
        <v>1726</v>
      </c>
      <c r="C2570" t="s">
        <v>90</v>
      </c>
      <c r="D2570" t="s">
        <v>66</v>
      </c>
      <c r="E2570" t="s">
        <v>1725</v>
      </c>
      <c r="F2570" s="13">
        <v>2</v>
      </c>
      <c r="G2570" s="14">
        <v>4142.6000000000004</v>
      </c>
      <c r="H2570" s="13">
        <v>131</v>
      </c>
      <c r="I2570" t="s">
        <v>76</v>
      </c>
    </row>
    <row r="2571" spans="1:9" x14ac:dyDescent="0.3">
      <c r="A2571">
        <v>2706</v>
      </c>
      <c r="B2571" t="s">
        <v>325</v>
      </c>
      <c r="C2571" t="s">
        <v>137</v>
      </c>
      <c r="D2571" t="s">
        <v>64</v>
      </c>
      <c r="E2571" t="s">
        <v>1725</v>
      </c>
      <c r="F2571" s="13">
        <v>1</v>
      </c>
      <c r="G2571" s="14">
        <v>994.11</v>
      </c>
      <c r="H2571" s="13">
        <v>131</v>
      </c>
      <c r="I2571" t="s">
        <v>76</v>
      </c>
    </row>
    <row r="2572" spans="1:9" x14ac:dyDescent="0.3">
      <c r="A2572">
        <v>3158</v>
      </c>
      <c r="B2572" t="s">
        <v>756</v>
      </c>
      <c r="C2572" t="s">
        <v>95</v>
      </c>
      <c r="D2572" t="s">
        <v>65</v>
      </c>
      <c r="E2572" t="s">
        <v>1725</v>
      </c>
      <c r="F2572" s="13">
        <v>3</v>
      </c>
      <c r="G2572" s="14">
        <v>10608.15</v>
      </c>
      <c r="H2572" s="13">
        <v>131</v>
      </c>
      <c r="I2572" t="s">
        <v>76</v>
      </c>
    </row>
    <row r="2573" spans="1:9" x14ac:dyDescent="0.3">
      <c r="A2573">
        <v>4007</v>
      </c>
      <c r="B2573" t="s">
        <v>327</v>
      </c>
      <c r="C2573" t="s">
        <v>249</v>
      </c>
      <c r="D2573" t="s">
        <v>67</v>
      </c>
      <c r="E2573" t="s">
        <v>1725</v>
      </c>
      <c r="F2573" s="13">
        <v>5</v>
      </c>
      <c r="G2573" s="14">
        <v>9005.5</v>
      </c>
      <c r="H2573" s="13">
        <v>131</v>
      </c>
      <c r="I2573" t="s">
        <v>76</v>
      </c>
    </row>
    <row r="2574" spans="1:9" x14ac:dyDescent="0.3">
      <c r="A2574">
        <v>4368</v>
      </c>
      <c r="B2574" t="s">
        <v>274</v>
      </c>
      <c r="C2574" t="s">
        <v>92</v>
      </c>
      <c r="D2574" t="s">
        <v>64</v>
      </c>
      <c r="E2574" t="s">
        <v>1725</v>
      </c>
      <c r="F2574" s="13">
        <v>3</v>
      </c>
      <c r="G2574" s="14">
        <v>6805.76</v>
      </c>
      <c r="H2574" s="13">
        <v>131</v>
      </c>
      <c r="I2574" t="s">
        <v>76</v>
      </c>
    </row>
    <row r="2575" spans="1:9" x14ac:dyDescent="0.3">
      <c r="A2575">
        <v>5748</v>
      </c>
      <c r="B2575" t="s">
        <v>382</v>
      </c>
      <c r="C2575" t="s">
        <v>137</v>
      </c>
      <c r="D2575" t="s">
        <v>64</v>
      </c>
      <c r="E2575" t="s">
        <v>1725</v>
      </c>
      <c r="F2575" s="13">
        <v>2</v>
      </c>
      <c r="G2575" s="14">
        <v>1295.8499999999999</v>
      </c>
      <c r="H2575" s="13">
        <v>131</v>
      </c>
      <c r="I2575" t="s">
        <v>76</v>
      </c>
    </row>
    <row r="2576" spans="1:9" x14ac:dyDescent="0.3">
      <c r="A2576">
        <v>6541</v>
      </c>
      <c r="B2576" t="s">
        <v>1727</v>
      </c>
      <c r="C2576" t="s">
        <v>90</v>
      </c>
      <c r="D2576" t="s">
        <v>66</v>
      </c>
      <c r="E2576" t="s">
        <v>1725</v>
      </c>
      <c r="F2576" s="13">
        <v>1</v>
      </c>
      <c r="G2576" s="14">
        <v>765.63</v>
      </c>
      <c r="H2576" s="13">
        <v>131</v>
      </c>
      <c r="I2576" t="s">
        <v>76</v>
      </c>
    </row>
    <row r="2577" spans="1:9" x14ac:dyDescent="0.3">
      <c r="A2577">
        <v>833</v>
      </c>
      <c r="B2577" t="s">
        <v>318</v>
      </c>
      <c r="C2577" t="s">
        <v>95</v>
      </c>
      <c r="D2577" t="s">
        <v>65</v>
      </c>
      <c r="E2577" t="s">
        <v>1728</v>
      </c>
      <c r="F2577" s="13">
        <v>1</v>
      </c>
      <c r="G2577" s="14">
        <v>1020.81</v>
      </c>
      <c r="H2577" s="13">
        <v>130</v>
      </c>
      <c r="I2577" t="s">
        <v>76</v>
      </c>
    </row>
    <row r="2578" spans="1:9" x14ac:dyDescent="0.3">
      <c r="A2578">
        <v>946</v>
      </c>
      <c r="B2578" t="s">
        <v>1102</v>
      </c>
      <c r="C2578" t="s">
        <v>95</v>
      </c>
      <c r="D2578" t="s">
        <v>65</v>
      </c>
      <c r="E2578" t="s">
        <v>1728</v>
      </c>
      <c r="F2578" s="13">
        <v>3</v>
      </c>
      <c r="G2578" s="14">
        <v>17125.09</v>
      </c>
      <c r="H2578" s="13">
        <v>130</v>
      </c>
      <c r="I2578" t="s">
        <v>76</v>
      </c>
    </row>
    <row r="2579" spans="1:9" x14ac:dyDescent="0.3">
      <c r="A2579">
        <v>2452</v>
      </c>
      <c r="B2579" t="s">
        <v>346</v>
      </c>
      <c r="C2579" t="s">
        <v>92</v>
      </c>
      <c r="D2579" t="s">
        <v>64</v>
      </c>
      <c r="E2579" t="s">
        <v>1728</v>
      </c>
      <c r="F2579" s="13">
        <v>6</v>
      </c>
      <c r="G2579" s="14">
        <v>7589.46</v>
      </c>
      <c r="H2579" s="13">
        <v>130</v>
      </c>
      <c r="I2579" t="s">
        <v>76</v>
      </c>
    </row>
    <row r="2580" spans="1:9" x14ac:dyDescent="0.3">
      <c r="A2580">
        <v>3099</v>
      </c>
      <c r="B2580" t="s">
        <v>947</v>
      </c>
      <c r="C2580" t="s">
        <v>92</v>
      </c>
      <c r="D2580" t="s">
        <v>64</v>
      </c>
      <c r="E2580" t="s">
        <v>1728</v>
      </c>
      <c r="F2580" s="13">
        <v>7</v>
      </c>
      <c r="G2580" s="14">
        <v>14699.46</v>
      </c>
      <c r="H2580" s="13">
        <v>130</v>
      </c>
      <c r="I2580" t="s">
        <v>76</v>
      </c>
    </row>
    <row r="2581" spans="1:9" x14ac:dyDescent="0.3">
      <c r="A2581">
        <v>3132</v>
      </c>
      <c r="B2581" t="s">
        <v>366</v>
      </c>
      <c r="C2581" t="s">
        <v>100</v>
      </c>
      <c r="D2581" t="s">
        <v>66</v>
      </c>
      <c r="E2581" t="s">
        <v>1728</v>
      </c>
      <c r="F2581" s="13">
        <v>8</v>
      </c>
      <c r="G2581" s="14">
        <v>15648.98</v>
      </c>
      <c r="H2581" s="13">
        <v>130</v>
      </c>
      <c r="I2581" t="s">
        <v>76</v>
      </c>
    </row>
    <row r="2582" spans="1:9" x14ac:dyDescent="0.3">
      <c r="A2582">
        <v>3134</v>
      </c>
      <c r="B2582" t="s">
        <v>1729</v>
      </c>
      <c r="C2582" t="s">
        <v>92</v>
      </c>
      <c r="D2582" t="s">
        <v>64</v>
      </c>
      <c r="E2582" t="s">
        <v>1728</v>
      </c>
      <c r="F2582" s="13">
        <v>1</v>
      </c>
      <c r="G2582" s="14">
        <v>322.5</v>
      </c>
      <c r="H2582" s="13">
        <v>130</v>
      </c>
      <c r="I2582" t="s">
        <v>76</v>
      </c>
    </row>
    <row r="2583" spans="1:9" x14ac:dyDescent="0.3">
      <c r="A2583">
        <v>4050</v>
      </c>
      <c r="B2583" t="s">
        <v>1730</v>
      </c>
      <c r="C2583" t="s">
        <v>114</v>
      </c>
      <c r="D2583" t="s">
        <v>66</v>
      </c>
      <c r="E2583" t="s">
        <v>1728</v>
      </c>
      <c r="F2583" s="13">
        <v>1</v>
      </c>
      <c r="G2583" s="14">
        <v>460.22</v>
      </c>
      <c r="H2583" s="13">
        <v>130</v>
      </c>
      <c r="I2583" t="s">
        <v>76</v>
      </c>
    </row>
    <row r="2584" spans="1:9" x14ac:dyDescent="0.3">
      <c r="A2584">
        <v>4250</v>
      </c>
      <c r="B2584" t="s">
        <v>277</v>
      </c>
      <c r="C2584" t="s">
        <v>137</v>
      </c>
      <c r="D2584" t="s">
        <v>64</v>
      </c>
      <c r="E2584" t="s">
        <v>1728</v>
      </c>
      <c r="F2584" s="13">
        <v>4</v>
      </c>
      <c r="G2584" s="14">
        <v>2224.5700000000002</v>
      </c>
      <c r="H2584" s="13">
        <v>130</v>
      </c>
      <c r="I2584" t="s">
        <v>76</v>
      </c>
    </row>
    <row r="2585" spans="1:9" x14ac:dyDescent="0.3">
      <c r="A2585">
        <v>4545</v>
      </c>
      <c r="B2585" t="s">
        <v>297</v>
      </c>
      <c r="C2585" t="s">
        <v>87</v>
      </c>
      <c r="D2585" t="s">
        <v>64</v>
      </c>
      <c r="E2585" t="s">
        <v>1728</v>
      </c>
      <c r="F2585" s="13">
        <v>5</v>
      </c>
      <c r="G2585" s="14">
        <v>13831.46</v>
      </c>
      <c r="H2585" s="13">
        <v>130</v>
      </c>
      <c r="I2585" t="s">
        <v>76</v>
      </c>
    </row>
    <row r="2586" spans="1:9" x14ac:dyDescent="0.3">
      <c r="A2586">
        <v>4922</v>
      </c>
      <c r="B2586" t="s">
        <v>1731</v>
      </c>
      <c r="C2586" t="s">
        <v>92</v>
      </c>
      <c r="D2586" t="s">
        <v>64</v>
      </c>
      <c r="E2586" t="s">
        <v>1728</v>
      </c>
      <c r="F2586" s="13">
        <v>2</v>
      </c>
      <c r="G2586" s="14">
        <v>2075.63</v>
      </c>
      <c r="H2586" s="13">
        <v>130</v>
      </c>
      <c r="I2586" t="s">
        <v>76</v>
      </c>
    </row>
    <row r="2587" spans="1:9" x14ac:dyDescent="0.3">
      <c r="A2587">
        <v>5091</v>
      </c>
      <c r="B2587" t="s">
        <v>1732</v>
      </c>
      <c r="C2587" t="s">
        <v>92</v>
      </c>
      <c r="D2587" t="s">
        <v>64</v>
      </c>
      <c r="E2587" t="s">
        <v>1728</v>
      </c>
      <c r="F2587" s="13">
        <v>3</v>
      </c>
      <c r="G2587" s="14">
        <v>8709.6299999999992</v>
      </c>
      <c r="H2587" s="13">
        <v>130</v>
      </c>
      <c r="I2587" t="s">
        <v>76</v>
      </c>
    </row>
    <row r="2588" spans="1:9" x14ac:dyDescent="0.3">
      <c r="A2588">
        <v>5229</v>
      </c>
      <c r="B2588" t="s">
        <v>1733</v>
      </c>
      <c r="C2588" t="s">
        <v>92</v>
      </c>
      <c r="D2588" t="s">
        <v>64</v>
      </c>
      <c r="E2588" t="s">
        <v>1728</v>
      </c>
      <c r="F2588" s="13">
        <v>1</v>
      </c>
      <c r="G2588" s="14">
        <v>143.16</v>
      </c>
      <c r="H2588" s="13">
        <v>130</v>
      </c>
      <c r="I2588" t="s">
        <v>76</v>
      </c>
    </row>
    <row r="2589" spans="1:9" x14ac:dyDescent="0.3">
      <c r="A2589">
        <v>5432</v>
      </c>
      <c r="B2589" t="s">
        <v>252</v>
      </c>
      <c r="C2589" t="s">
        <v>249</v>
      </c>
      <c r="D2589" t="s">
        <v>67</v>
      </c>
      <c r="E2589" t="s">
        <v>1728</v>
      </c>
      <c r="F2589" s="13">
        <v>5</v>
      </c>
      <c r="G2589" s="14">
        <v>8059.25</v>
      </c>
      <c r="H2589" s="13">
        <v>130</v>
      </c>
      <c r="I2589" t="s">
        <v>76</v>
      </c>
    </row>
    <row r="2590" spans="1:9" x14ac:dyDescent="0.3">
      <c r="A2590">
        <v>5719</v>
      </c>
      <c r="B2590" t="s">
        <v>191</v>
      </c>
      <c r="C2590" t="s">
        <v>123</v>
      </c>
      <c r="D2590" t="s">
        <v>65</v>
      </c>
      <c r="E2590" t="s">
        <v>1728</v>
      </c>
      <c r="F2590" s="13">
        <v>2</v>
      </c>
      <c r="G2590" s="14">
        <v>14545.81</v>
      </c>
      <c r="H2590" s="13">
        <v>130</v>
      </c>
      <c r="I2590" t="s">
        <v>76</v>
      </c>
    </row>
    <row r="2591" spans="1:9" x14ac:dyDescent="0.3">
      <c r="A2591">
        <v>6288</v>
      </c>
      <c r="B2591" t="s">
        <v>645</v>
      </c>
      <c r="C2591" t="s">
        <v>100</v>
      </c>
      <c r="D2591" t="s">
        <v>66</v>
      </c>
      <c r="E2591" t="s">
        <v>1728</v>
      </c>
      <c r="F2591" s="13">
        <v>4</v>
      </c>
      <c r="G2591" s="14">
        <v>9092.67</v>
      </c>
      <c r="H2591" s="13">
        <v>130</v>
      </c>
      <c r="I2591" t="s">
        <v>76</v>
      </c>
    </row>
    <row r="2592" spans="1:9" x14ac:dyDescent="0.3">
      <c r="A2592">
        <v>6567</v>
      </c>
      <c r="B2592" t="s">
        <v>543</v>
      </c>
      <c r="C2592" t="s">
        <v>114</v>
      </c>
      <c r="D2592" t="s">
        <v>66</v>
      </c>
      <c r="E2592" t="s">
        <v>1728</v>
      </c>
      <c r="F2592" s="13">
        <v>2</v>
      </c>
      <c r="G2592" s="14">
        <v>4646.1000000000004</v>
      </c>
      <c r="H2592" s="13">
        <v>130</v>
      </c>
      <c r="I2592" t="s">
        <v>76</v>
      </c>
    </row>
    <row r="2593" spans="1:9" x14ac:dyDescent="0.3">
      <c r="A2593">
        <v>6593</v>
      </c>
      <c r="B2593" t="s">
        <v>636</v>
      </c>
      <c r="C2593" t="s">
        <v>121</v>
      </c>
      <c r="D2593" t="s">
        <v>67</v>
      </c>
      <c r="E2593" t="s">
        <v>1728</v>
      </c>
      <c r="F2593" s="13">
        <v>1</v>
      </c>
      <c r="G2593" s="14">
        <v>416.22</v>
      </c>
      <c r="H2593" s="13">
        <v>130</v>
      </c>
      <c r="I2593" t="s">
        <v>76</v>
      </c>
    </row>
    <row r="2594" spans="1:9" x14ac:dyDescent="0.3">
      <c r="A2594">
        <v>6618</v>
      </c>
      <c r="B2594" t="s">
        <v>1239</v>
      </c>
      <c r="C2594" t="s">
        <v>133</v>
      </c>
      <c r="D2594" t="s">
        <v>64</v>
      </c>
      <c r="E2594" t="s">
        <v>1728</v>
      </c>
      <c r="F2594" s="13">
        <v>3</v>
      </c>
      <c r="G2594" s="14">
        <v>15518.93</v>
      </c>
      <c r="H2594" s="13">
        <v>130</v>
      </c>
      <c r="I2594" t="s">
        <v>76</v>
      </c>
    </row>
    <row r="2595" spans="1:9" x14ac:dyDescent="0.3">
      <c r="A2595">
        <v>7331</v>
      </c>
      <c r="B2595" t="s">
        <v>874</v>
      </c>
      <c r="C2595" t="s">
        <v>137</v>
      </c>
      <c r="D2595" t="s">
        <v>64</v>
      </c>
      <c r="E2595" t="s">
        <v>1728</v>
      </c>
      <c r="F2595" s="13">
        <v>4</v>
      </c>
      <c r="G2595" s="14">
        <v>7610</v>
      </c>
      <c r="H2595" s="13">
        <v>130</v>
      </c>
      <c r="I2595" t="s">
        <v>76</v>
      </c>
    </row>
    <row r="2596" spans="1:9" x14ac:dyDescent="0.3">
      <c r="A2596">
        <v>8481</v>
      </c>
      <c r="B2596" t="s">
        <v>543</v>
      </c>
      <c r="C2596" t="s">
        <v>92</v>
      </c>
      <c r="D2596" t="s">
        <v>64</v>
      </c>
      <c r="E2596" t="s">
        <v>1728</v>
      </c>
      <c r="F2596" s="13">
        <v>4</v>
      </c>
      <c r="G2596" s="14">
        <v>1821.53</v>
      </c>
      <c r="H2596" s="13">
        <v>130</v>
      </c>
      <c r="I2596" t="s">
        <v>76</v>
      </c>
    </row>
    <row r="2597" spans="1:9" x14ac:dyDescent="0.3">
      <c r="A2597">
        <v>8522</v>
      </c>
      <c r="B2597" t="s">
        <v>1693</v>
      </c>
      <c r="C2597" t="s">
        <v>90</v>
      </c>
      <c r="D2597" t="s">
        <v>66</v>
      </c>
      <c r="E2597" t="s">
        <v>1728</v>
      </c>
      <c r="F2597" s="13">
        <v>1</v>
      </c>
      <c r="G2597" s="14">
        <v>442.57</v>
      </c>
      <c r="H2597" s="13">
        <v>130</v>
      </c>
      <c r="I2597" t="s">
        <v>76</v>
      </c>
    </row>
    <row r="2598" spans="1:9" x14ac:dyDescent="0.3">
      <c r="A2598">
        <v>476</v>
      </c>
      <c r="B2598" t="s">
        <v>1734</v>
      </c>
      <c r="C2598" t="s">
        <v>156</v>
      </c>
      <c r="D2598" t="s">
        <v>68</v>
      </c>
      <c r="E2598" t="s">
        <v>1735</v>
      </c>
      <c r="F2598" s="13">
        <v>2</v>
      </c>
      <c r="G2598" s="14">
        <v>525.67999999999995</v>
      </c>
      <c r="H2598" s="13">
        <v>129</v>
      </c>
      <c r="I2598" t="s">
        <v>76</v>
      </c>
    </row>
    <row r="2599" spans="1:9" x14ac:dyDescent="0.3">
      <c r="A2599">
        <v>2366</v>
      </c>
      <c r="B2599" t="s">
        <v>333</v>
      </c>
      <c r="C2599" t="s">
        <v>95</v>
      </c>
      <c r="D2599" t="s">
        <v>65</v>
      </c>
      <c r="E2599" t="s">
        <v>1735</v>
      </c>
      <c r="F2599" s="13">
        <v>1</v>
      </c>
      <c r="G2599" s="14">
        <v>241.4</v>
      </c>
      <c r="H2599" s="13">
        <v>129</v>
      </c>
      <c r="I2599" t="s">
        <v>76</v>
      </c>
    </row>
    <row r="2600" spans="1:9" x14ac:dyDescent="0.3">
      <c r="A2600">
        <v>4350</v>
      </c>
      <c r="B2600" t="s">
        <v>449</v>
      </c>
      <c r="C2600" t="s">
        <v>133</v>
      </c>
      <c r="D2600" t="s">
        <v>64</v>
      </c>
      <c r="E2600" t="s">
        <v>1735</v>
      </c>
      <c r="F2600" s="13">
        <v>2</v>
      </c>
      <c r="G2600" s="14">
        <v>4303.6000000000004</v>
      </c>
      <c r="H2600" s="13">
        <v>129</v>
      </c>
      <c r="I2600" t="s">
        <v>76</v>
      </c>
    </row>
    <row r="2601" spans="1:9" x14ac:dyDescent="0.3">
      <c r="A2601">
        <v>4384</v>
      </c>
      <c r="B2601" t="s">
        <v>543</v>
      </c>
      <c r="C2601" t="s">
        <v>249</v>
      </c>
      <c r="D2601" t="s">
        <v>67</v>
      </c>
      <c r="E2601" t="s">
        <v>1735</v>
      </c>
      <c r="F2601" s="13">
        <v>2</v>
      </c>
      <c r="G2601" s="14">
        <v>1048.92</v>
      </c>
      <c r="H2601" s="13">
        <v>129</v>
      </c>
      <c r="I2601" t="s">
        <v>76</v>
      </c>
    </row>
    <row r="2602" spans="1:9" x14ac:dyDescent="0.3">
      <c r="A2602">
        <v>4866</v>
      </c>
      <c r="B2602" t="s">
        <v>1736</v>
      </c>
      <c r="C2602" t="s">
        <v>121</v>
      </c>
      <c r="D2602" t="s">
        <v>67</v>
      </c>
      <c r="E2602" t="s">
        <v>1735</v>
      </c>
      <c r="F2602" s="13">
        <v>1</v>
      </c>
      <c r="G2602" s="14">
        <v>2291.7600000000002</v>
      </c>
      <c r="H2602" s="13">
        <v>129</v>
      </c>
      <c r="I2602" t="s">
        <v>76</v>
      </c>
    </row>
    <row r="2603" spans="1:9" x14ac:dyDescent="0.3">
      <c r="A2603">
        <v>5586</v>
      </c>
      <c r="B2603" t="s">
        <v>293</v>
      </c>
      <c r="C2603" t="s">
        <v>87</v>
      </c>
      <c r="D2603" t="s">
        <v>64</v>
      </c>
      <c r="E2603" t="s">
        <v>1735</v>
      </c>
      <c r="F2603" s="13">
        <v>3</v>
      </c>
      <c r="G2603" s="14">
        <v>1469.51</v>
      </c>
      <c r="H2603" s="13">
        <v>129</v>
      </c>
      <c r="I2603" t="s">
        <v>76</v>
      </c>
    </row>
    <row r="2604" spans="1:9" x14ac:dyDescent="0.3">
      <c r="A2604">
        <v>6217</v>
      </c>
      <c r="B2604" t="s">
        <v>1737</v>
      </c>
      <c r="C2604" t="s">
        <v>114</v>
      </c>
      <c r="D2604" t="s">
        <v>66</v>
      </c>
      <c r="E2604" t="s">
        <v>1735</v>
      </c>
      <c r="F2604" s="13">
        <v>1</v>
      </c>
      <c r="G2604" s="14">
        <v>265.58</v>
      </c>
      <c r="H2604" s="13">
        <v>129</v>
      </c>
      <c r="I2604" t="s">
        <v>76</v>
      </c>
    </row>
    <row r="2605" spans="1:9" x14ac:dyDescent="0.3">
      <c r="A2605">
        <v>6257</v>
      </c>
      <c r="B2605" t="s">
        <v>519</v>
      </c>
      <c r="C2605" t="s">
        <v>103</v>
      </c>
      <c r="D2605" t="s">
        <v>67</v>
      </c>
      <c r="E2605" t="s">
        <v>1735</v>
      </c>
      <c r="F2605" s="13">
        <v>1</v>
      </c>
      <c r="G2605" s="14">
        <v>714.33</v>
      </c>
      <c r="H2605" s="13">
        <v>129</v>
      </c>
      <c r="I2605" t="s">
        <v>76</v>
      </c>
    </row>
    <row r="2606" spans="1:9" x14ac:dyDescent="0.3">
      <c r="A2606">
        <v>6363</v>
      </c>
      <c r="B2606" t="s">
        <v>407</v>
      </c>
      <c r="C2606" t="s">
        <v>92</v>
      </c>
      <c r="D2606" t="s">
        <v>64</v>
      </c>
      <c r="E2606" t="s">
        <v>1735</v>
      </c>
      <c r="F2606" s="13">
        <v>7</v>
      </c>
      <c r="G2606" s="14">
        <v>8650.1</v>
      </c>
      <c r="H2606" s="13">
        <v>129</v>
      </c>
      <c r="I2606" t="s">
        <v>76</v>
      </c>
    </row>
    <row r="2607" spans="1:9" x14ac:dyDescent="0.3">
      <c r="A2607">
        <v>7468</v>
      </c>
      <c r="B2607" t="s">
        <v>109</v>
      </c>
      <c r="C2607" t="s">
        <v>137</v>
      </c>
      <c r="D2607" t="s">
        <v>64</v>
      </c>
      <c r="E2607" t="s">
        <v>1735</v>
      </c>
      <c r="F2607" s="13">
        <v>1</v>
      </c>
      <c r="G2607" s="14">
        <v>355.03</v>
      </c>
      <c r="H2607" s="13">
        <v>129</v>
      </c>
      <c r="I2607" t="s">
        <v>76</v>
      </c>
    </row>
    <row r="2608" spans="1:9" x14ac:dyDescent="0.3">
      <c r="A2608">
        <v>7470</v>
      </c>
      <c r="B2608" t="s">
        <v>138</v>
      </c>
      <c r="C2608" t="s">
        <v>92</v>
      </c>
      <c r="D2608" t="s">
        <v>64</v>
      </c>
      <c r="E2608" t="s">
        <v>1735</v>
      </c>
      <c r="F2608" s="13">
        <v>4</v>
      </c>
      <c r="G2608" s="14">
        <v>6475.61</v>
      </c>
      <c r="H2608" s="13">
        <v>129</v>
      </c>
      <c r="I2608" t="s">
        <v>76</v>
      </c>
    </row>
    <row r="2609" spans="1:9" x14ac:dyDescent="0.3">
      <c r="A2609">
        <v>7511</v>
      </c>
      <c r="B2609" t="s">
        <v>1738</v>
      </c>
      <c r="C2609" t="s">
        <v>97</v>
      </c>
      <c r="D2609" t="s">
        <v>65</v>
      </c>
      <c r="E2609" t="s">
        <v>1735</v>
      </c>
      <c r="F2609" s="13">
        <v>4</v>
      </c>
      <c r="G2609" s="14">
        <v>6634.39</v>
      </c>
      <c r="H2609" s="13">
        <v>129</v>
      </c>
      <c r="I2609" t="s">
        <v>76</v>
      </c>
    </row>
    <row r="2610" spans="1:9" x14ac:dyDescent="0.3">
      <c r="A2610">
        <v>7887</v>
      </c>
      <c r="B2610" t="s">
        <v>386</v>
      </c>
      <c r="C2610" t="s">
        <v>92</v>
      </c>
      <c r="D2610" t="s">
        <v>64</v>
      </c>
      <c r="E2610" t="s">
        <v>1735</v>
      </c>
      <c r="F2610" s="13">
        <v>5</v>
      </c>
      <c r="G2610" s="14">
        <v>11045.28</v>
      </c>
      <c r="H2610" s="13">
        <v>129</v>
      </c>
      <c r="I2610" t="s">
        <v>76</v>
      </c>
    </row>
    <row r="2611" spans="1:9" x14ac:dyDescent="0.3">
      <c r="A2611">
        <v>7904</v>
      </c>
      <c r="B2611" t="s">
        <v>1739</v>
      </c>
      <c r="C2611" t="s">
        <v>87</v>
      </c>
      <c r="D2611" t="s">
        <v>64</v>
      </c>
      <c r="E2611" t="s">
        <v>1735</v>
      </c>
      <c r="F2611" s="13">
        <v>3</v>
      </c>
      <c r="G2611" s="14">
        <v>2636.25</v>
      </c>
      <c r="H2611" s="13">
        <v>129</v>
      </c>
      <c r="I2611" t="s">
        <v>76</v>
      </c>
    </row>
    <row r="2612" spans="1:9" x14ac:dyDescent="0.3">
      <c r="A2612">
        <v>8651</v>
      </c>
      <c r="B2612" t="s">
        <v>297</v>
      </c>
      <c r="C2612" t="s">
        <v>92</v>
      </c>
      <c r="D2612" t="s">
        <v>64</v>
      </c>
      <c r="E2612" t="s">
        <v>1735</v>
      </c>
      <c r="F2612" s="13">
        <v>3</v>
      </c>
      <c r="G2612" s="14">
        <v>2426.73</v>
      </c>
      <c r="H2612" s="13">
        <v>129</v>
      </c>
      <c r="I2612" t="s">
        <v>76</v>
      </c>
    </row>
    <row r="2613" spans="1:9" x14ac:dyDescent="0.3">
      <c r="A2613">
        <v>8949</v>
      </c>
      <c r="B2613" t="s">
        <v>1740</v>
      </c>
      <c r="C2613" t="s">
        <v>100</v>
      </c>
      <c r="D2613" t="s">
        <v>66</v>
      </c>
      <c r="E2613" t="s">
        <v>1735</v>
      </c>
      <c r="F2613" s="13">
        <v>1</v>
      </c>
      <c r="G2613" s="14">
        <v>179.16</v>
      </c>
      <c r="H2613" s="13">
        <v>129</v>
      </c>
      <c r="I2613" t="s">
        <v>76</v>
      </c>
    </row>
    <row r="2614" spans="1:9" x14ac:dyDescent="0.3">
      <c r="A2614">
        <v>77</v>
      </c>
      <c r="B2614" t="s">
        <v>990</v>
      </c>
      <c r="C2614" t="s">
        <v>92</v>
      </c>
      <c r="D2614" t="s">
        <v>64</v>
      </c>
      <c r="E2614" t="s">
        <v>1741</v>
      </c>
      <c r="F2614" s="13">
        <v>3</v>
      </c>
      <c r="G2614" s="14">
        <v>8682.85</v>
      </c>
      <c r="H2614" s="13">
        <v>128</v>
      </c>
      <c r="I2614" t="s">
        <v>76</v>
      </c>
    </row>
    <row r="2615" spans="1:9" x14ac:dyDescent="0.3">
      <c r="A2615">
        <v>893</v>
      </c>
      <c r="B2615" t="s">
        <v>162</v>
      </c>
      <c r="C2615" t="s">
        <v>92</v>
      </c>
      <c r="D2615" t="s">
        <v>64</v>
      </c>
      <c r="E2615" t="s">
        <v>1741</v>
      </c>
      <c r="F2615" s="13">
        <v>2</v>
      </c>
      <c r="G2615" s="14">
        <v>913.5</v>
      </c>
      <c r="H2615" s="13">
        <v>128</v>
      </c>
      <c r="I2615" t="s">
        <v>76</v>
      </c>
    </row>
    <row r="2616" spans="1:9" x14ac:dyDescent="0.3">
      <c r="A2616">
        <v>941</v>
      </c>
      <c r="B2616" t="s">
        <v>305</v>
      </c>
      <c r="C2616" t="s">
        <v>92</v>
      </c>
      <c r="D2616" t="s">
        <v>64</v>
      </c>
      <c r="E2616" t="s">
        <v>1741</v>
      </c>
      <c r="F2616" s="13">
        <v>3</v>
      </c>
      <c r="G2616" s="14">
        <v>6563.63</v>
      </c>
      <c r="H2616" s="13">
        <v>128</v>
      </c>
      <c r="I2616" t="s">
        <v>76</v>
      </c>
    </row>
    <row r="2617" spans="1:9" x14ac:dyDescent="0.3">
      <c r="A2617">
        <v>1097</v>
      </c>
      <c r="B2617" t="s">
        <v>153</v>
      </c>
      <c r="C2617" t="s">
        <v>92</v>
      </c>
      <c r="D2617" t="s">
        <v>64</v>
      </c>
      <c r="E2617" t="s">
        <v>1741</v>
      </c>
      <c r="F2617" s="13">
        <v>3</v>
      </c>
      <c r="G2617" s="14">
        <v>2315.14</v>
      </c>
      <c r="H2617" s="13">
        <v>128</v>
      </c>
      <c r="I2617" t="s">
        <v>76</v>
      </c>
    </row>
    <row r="2618" spans="1:9" x14ac:dyDescent="0.3">
      <c r="A2618">
        <v>1367</v>
      </c>
      <c r="B2618" t="s">
        <v>364</v>
      </c>
      <c r="C2618" t="s">
        <v>137</v>
      </c>
      <c r="D2618" t="s">
        <v>64</v>
      </c>
      <c r="E2618" t="s">
        <v>1741</v>
      </c>
      <c r="F2618" s="13">
        <v>2</v>
      </c>
      <c r="G2618" s="14">
        <v>6914.7</v>
      </c>
      <c r="H2618" s="13">
        <v>128</v>
      </c>
      <c r="I2618" t="s">
        <v>76</v>
      </c>
    </row>
    <row r="2619" spans="1:9" x14ac:dyDescent="0.3">
      <c r="A2619">
        <v>1610</v>
      </c>
      <c r="B2619" t="s">
        <v>1742</v>
      </c>
      <c r="C2619" t="s">
        <v>92</v>
      </c>
      <c r="D2619" t="s">
        <v>64</v>
      </c>
      <c r="E2619" t="s">
        <v>1741</v>
      </c>
      <c r="F2619" s="13">
        <v>3</v>
      </c>
      <c r="G2619" s="14">
        <v>1855.36</v>
      </c>
      <c r="H2619" s="13">
        <v>128</v>
      </c>
      <c r="I2619" t="s">
        <v>76</v>
      </c>
    </row>
    <row r="2620" spans="1:9" x14ac:dyDescent="0.3">
      <c r="A2620">
        <v>2295</v>
      </c>
      <c r="B2620" t="s">
        <v>1517</v>
      </c>
      <c r="C2620" t="s">
        <v>123</v>
      </c>
      <c r="D2620" t="s">
        <v>65</v>
      </c>
      <c r="E2620" t="s">
        <v>1741</v>
      </c>
      <c r="F2620" s="13">
        <v>2</v>
      </c>
      <c r="G2620" s="14">
        <v>748.71</v>
      </c>
      <c r="H2620" s="13">
        <v>128</v>
      </c>
      <c r="I2620" t="s">
        <v>76</v>
      </c>
    </row>
    <row r="2621" spans="1:9" x14ac:dyDescent="0.3">
      <c r="A2621">
        <v>2435</v>
      </c>
      <c r="B2621" t="s">
        <v>225</v>
      </c>
      <c r="C2621" t="s">
        <v>87</v>
      </c>
      <c r="D2621" t="s">
        <v>64</v>
      </c>
      <c r="E2621" t="s">
        <v>1741</v>
      </c>
      <c r="F2621" s="13">
        <v>1</v>
      </c>
      <c r="G2621" s="14">
        <v>314.63</v>
      </c>
      <c r="H2621" s="13">
        <v>128</v>
      </c>
      <c r="I2621" t="s">
        <v>76</v>
      </c>
    </row>
    <row r="2622" spans="1:9" x14ac:dyDescent="0.3">
      <c r="A2622">
        <v>3376</v>
      </c>
      <c r="B2622" t="s">
        <v>1743</v>
      </c>
      <c r="C2622" t="s">
        <v>137</v>
      </c>
      <c r="D2622" t="s">
        <v>64</v>
      </c>
      <c r="E2622" t="s">
        <v>1741</v>
      </c>
      <c r="F2622" s="13">
        <v>2</v>
      </c>
      <c r="G2622" s="14">
        <v>5775.65</v>
      </c>
      <c r="H2622" s="13">
        <v>128</v>
      </c>
      <c r="I2622" t="s">
        <v>76</v>
      </c>
    </row>
    <row r="2623" spans="1:9" x14ac:dyDescent="0.3">
      <c r="A2623">
        <v>3617</v>
      </c>
      <c r="B2623" t="s">
        <v>208</v>
      </c>
      <c r="C2623" t="s">
        <v>114</v>
      </c>
      <c r="D2623" t="s">
        <v>66</v>
      </c>
      <c r="E2623" t="s">
        <v>1741</v>
      </c>
      <c r="F2623" s="13">
        <v>1</v>
      </c>
      <c r="G2623" s="14">
        <v>7056.99</v>
      </c>
      <c r="H2623" s="13">
        <v>128</v>
      </c>
      <c r="I2623" t="s">
        <v>76</v>
      </c>
    </row>
    <row r="2624" spans="1:9" x14ac:dyDescent="0.3">
      <c r="A2624">
        <v>4067</v>
      </c>
      <c r="B2624" t="s">
        <v>1744</v>
      </c>
      <c r="C2624" t="s">
        <v>100</v>
      </c>
      <c r="D2624" t="s">
        <v>66</v>
      </c>
      <c r="E2624" t="s">
        <v>1741</v>
      </c>
      <c r="F2624" s="13">
        <v>1</v>
      </c>
      <c r="G2624" s="14">
        <v>1337.19</v>
      </c>
      <c r="H2624" s="13">
        <v>128</v>
      </c>
      <c r="I2624" t="s">
        <v>76</v>
      </c>
    </row>
    <row r="2625" spans="1:9" x14ac:dyDescent="0.3">
      <c r="A2625">
        <v>7501</v>
      </c>
      <c r="B2625" t="s">
        <v>153</v>
      </c>
      <c r="C2625" t="s">
        <v>87</v>
      </c>
      <c r="D2625" t="s">
        <v>64</v>
      </c>
      <c r="E2625" t="s">
        <v>1741</v>
      </c>
      <c r="F2625" s="13">
        <v>2</v>
      </c>
      <c r="G2625" s="14">
        <v>5162.51</v>
      </c>
      <c r="H2625" s="13">
        <v>128</v>
      </c>
      <c r="I2625" t="s">
        <v>76</v>
      </c>
    </row>
    <row r="2626" spans="1:9" x14ac:dyDescent="0.3">
      <c r="A2626">
        <v>7774</v>
      </c>
      <c r="B2626" t="s">
        <v>404</v>
      </c>
      <c r="C2626" t="s">
        <v>103</v>
      </c>
      <c r="D2626" t="s">
        <v>67</v>
      </c>
      <c r="E2626" t="s">
        <v>1741</v>
      </c>
      <c r="F2626" s="13">
        <v>3</v>
      </c>
      <c r="G2626" s="14">
        <v>4162.0200000000004</v>
      </c>
      <c r="H2626" s="13">
        <v>128</v>
      </c>
      <c r="I2626" t="s">
        <v>76</v>
      </c>
    </row>
    <row r="2627" spans="1:9" x14ac:dyDescent="0.3">
      <c r="A2627">
        <v>7863</v>
      </c>
      <c r="B2627" t="s">
        <v>751</v>
      </c>
      <c r="C2627" t="s">
        <v>92</v>
      </c>
      <c r="D2627" t="s">
        <v>64</v>
      </c>
      <c r="E2627" t="s">
        <v>1741</v>
      </c>
      <c r="F2627" s="13">
        <v>2</v>
      </c>
      <c r="G2627" s="14">
        <v>1408.27</v>
      </c>
      <c r="H2627" s="13">
        <v>128</v>
      </c>
      <c r="I2627" t="s">
        <v>76</v>
      </c>
    </row>
    <row r="2628" spans="1:9" x14ac:dyDescent="0.3">
      <c r="A2628">
        <v>8597</v>
      </c>
      <c r="B2628" t="s">
        <v>1526</v>
      </c>
      <c r="C2628" t="s">
        <v>133</v>
      </c>
      <c r="D2628" t="s">
        <v>64</v>
      </c>
      <c r="E2628" t="s">
        <v>1741</v>
      </c>
      <c r="F2628" s="13">
        <v>1</v>
      </c>
      <c r="G2628" s="14">
        <v>439.21</v>
      </c>
      <c r="H2628" s="13">
        <v>128</v>
      </c>
      <c r="I2628" t="s">
        <v>76</v>
      </c>
    </row>
    <row r="2629" spans="1:9" x14ac:dyDescent="0.3">
      <c r="A2629">
        <v>271</v>
      </c>
      <c r="B2629" t="s">
        <v>662</v>
      </c>
      <c r="C2629" t="s">
        <v>137</v>
      </c>
      <c r="D2629" t="s">
        <v>64</v>
      </c>
      <c r="E2629" t="s">
        <v>1745</v>
      </c>
      <c r="F2629" s="13">
        <v>1</v>
      </c>
      <c r="G2629" s="14">
        <v>159.43</v>
      </c>
      <c r="H2629" s="13">
        <v>127</v>
      </c>
      <c r="I2629" t="s">
        <v>76</v>
      </c>
    </row>
    <row r="2630" spans="1:9" x14ac:dyDescent="0.3">
      <c r="A2630">
        <v>613</v>
      </c>
      <c r="B2630" t="s">
        <v>1276</v>
      </c>
      <c r="C2630" t="s">
        <v>97</v>
      </c>
      <c r="D2630" t="s">
        <v>65</v>
      </c>
      <c r="E2630" t="s">
        <v>1745</v>
      </c>
      <c r="F2630" s="13">
        <v>2</v>
      </c>
      <c r="G2630" s="14">
        <v>1235.73</v>
      </c>
      <c r="H2630" s="13">
        <v>127</v>
      </c>
      <c r="I2630" t="s">
        <v>76</v>
      </c>
    </row>
    <row r="2631" spans="1:9" x14ac:dyDescent="0.3">
      <c r="A2631">
        <v>1043</v>
      </c>
      <c r="B2631" t="s">
        <v>135</v>
      </c>
      <c r="C2631" t="s">
        <v>92</v>
      </c>
      <c r="D2631" t="s">
        <v>64</v>
      </c>
      <c r="E2631" t="s">
        <v>1745</v>
      </c>
      <c r="F2631" s="13">
        <v>2</v>
      </c>
      <c r="G2631" s="14">
        <v>1270.57</v>
      </c>
      <c r="H2631" s="13">
        <v>127</v>
      </c>
      <c r="I2631" t="s">
        <v>76</v>
      </c>
    </row>
    <row r="2632" spans="1:9" x14ac:dyDescent="0.3">
      <c r="A2632">
        <v>1800</v>
      </c>
      <c r="B2632" t="s">
        <v>348</v>
      </c>
      <c r="C2632" t="s">
        <v>92</v>
      </c>
      <c r="D2632" t="s">
        <v>64</v>
      </c>
      <c r="E2632" t="s">
        <v>1745</v>
      </c>
      <c r="F2632" s="13">
        <v>5</v>
      </c>
      <c r="G2632" s="14">
        <v>13953.44</v>
      </c>
      <c r="H2632" s="13">
        <v>127</v>
      </c>
      <c r="I2632" t="s">
        <v>76</v>
      </c>
    </row>
    <row r="2633" spans="1:9" x14ac:dyDescent="0.3">
      <c r="A2633">
        <v>2582</v>
      </c>
      <c r="B2633" t="s">
        <v>1746</v>
      </c>
      <c r="C2633" t="s">
        <v>90</v>
      </c>
      <c r="D2633" t="s">
        <v>66</v>
      </c>
      <c r="E2633" t="s">
        <v>1745</v>
      </c>
      <c r="F2633" s="13">
        <v>2</v>
      </c>
      <c r="G2633" s="14">
        <v>498.62</v>
      </c>
      <c r="H2633" s="13">
        <v>127</v>
      </c>
      <c r="I2633" t="s">
        <v>76</v>
      </c>
    </row>
    <row r="2634" spans="1:9" x14ac:dyDescent="0.3">
      <c r="A2634">
        <v>3038</v>
      </c>
      <c r="B2634" t="s">
        <v>286</v>
      </c>
      <c r="C2634" t="s">
        <v>133</v>
      </c>
      <c r="D2634" t="s">
        <v>64</v>
      </c>
      <c r="E2634" t="s">
        <v>1745</v>
      </c>
      <c r="F2634" s="13">
        <v>3</v>
      </c>
      <c r="G2634" s="14">
        <v>3289.52</v>
      </c>
      <c r="H2634" s="13">
        <v>127</v>
      </c>
      <c r="I2634" t="s">
        <v>76</v>
      </c>
    </row>
    <row r="2635" spans="1:9" x14ac:dyDescent="0.3">
      <c r="A2635">
        <v>3808</v>
      </c>
      <c r="B2635" t="s">
        <v>274</v>
      </c>
      <c r="C2635" t="s">
        <v>100</v>
      </c>
      <c r="D2635" t="s">
        <v>66</v>
      </c>
      <c r="E2635" t="s">
        <v>1745</v>
      </c>
      <c r="F2635" s="13">
        <v>15</v>
      </c>
      <c r="G2635" s="14">
        <v>13814.92</v>
      </c>
      <c r="H2635" s="13">
        <v>127</v>
      </c>
      <c r="I2635" t="s">
        <v>76</v>
      </c>
    </row>
    <row r="2636" spans="1:9" x14ac:dyDescent="0.3">
      <c r="A2636">
        <v>3832</v>
      </c>
      <c r="B2636" t="s">
        <v>208</v>
      </c>
      <c r="C2636" t="s">
        <v>123</v>
      </c>
      <c r="D2636" t="s">
        <v>65</v>
      </c>
      <c r="E2636" t="s">
        <v>1745</v>
      </c>
      <c r="F2636" s="13">
        <v>1</v>
      </c>
      <c r="G2636" s="14">
        <v>5883.07</v>
      </c>
      <c r="H2636" s="13">
        <v>127</v>
      </c>
      <c r="I2636" t="s">
        <v>76</v>
      </c>
    </row>
    <row r="2637" spans="1:9" x14ac:dyDescent="0.3">
      <c r="A2637">
        <v>4124</v>
      </c>
      <c r="B2637" t="s">
        <v>543</v>
      </c>
      <c r="C2637" t="s">
        <v>100</v>
      </c>
      <c r="D2637" t="s">
        <v>66</v>
      </c>
      <c r="E2637" t="s">
        <v>1745</v>
      </c>
      <c r="F2637" s="13">
        <v>2</v>
      </c>
      <c r="G2637" s="14">
        <v>1338.17</v>
      </c>
      <c r="H2637" s="13">
        <v>127</v>
      </c>
      <c r="I2637" t="s">
        <v>76</v>
      </c>
    </row>
    <row r="2638" spans="1:9" x14ac:dyDescent="0.3">
      <c r="A2638">
        <v>4724</v>
      </c>
      <c r="B2638" t="s">
        <v>149</v>
      </c>
      <c r="C2638" t="s">
        <v>92</v>
      </c>
      <c r="D2638" t="s">
        <v>64</v>
      </c>
      <c r="E2638" t="s">
        <v>1745</v>
      </c>
      <c r="F2638" s="13">
        <v>4</v>
      </c>
      <c r="G2638" s="14">
        <v>7504.39</v>
      </c>
      <c r="H2638" s="13">
        <v>127</v>
      </c>
      <c r="I2638" t="s">
        <v>76</v>
      </c>
    </row>
    <row r="2639" spans="1:9" x14ac:dyDescent="0.3">
      <c r="A2639">
        <v>4743</v>
      </c>
      <c r="B2639" t="s">
        <v>1747</v>
      </c>
      <c r="C2639" t="s">
        <v>137</v>
      </c>
      <c r="D2639" t="s">
        <v>64</v>
      </c>
      <c r="E2639" t="s">
        <v>1745</v>
      </c>
      <c r="F2639" s="13">
        <v>3</v>
      </c>
      <c r="G2639" s="14">
        <v>1172.1199999999999</v>
      </c>
      <c r="H2639" s="13">
        <v>127</v>
      </c>
      <c r="I2639" t="s">
        <v>76</v>
      </c>
    </row>
    <row r="2640" spans="1:9" x14ac:dyDescent="0.3">
      <c r="A2640">
        <v>4994</v>
      </c>
      <c r="B2640" t="s">
        <v>597</v>
      </c>
      <c r="C2640" t="s">
        <v>92</v>
      </c>
      <c r="D2640" t="s">
        <v>64</v>
      </c>
      <c r="E2640" t="s">
        <v>1745</v>
      </c>
      <c r="F2640" s="13">
        <v>1</v>
      </c>
      <c r="G2640" s="14">
        <v>537.83000000000004</v>
      </c>
      <c r="H2640" s="13">
        <v>127</v>
      </c>
      <c r="I2640" t="s">
        <v>76</v>
      </c>
    </row>
    <row r="2641" spans="1:9" x14ac:dyDescent="0.3">
      <c r="A2641">
        <v>5046</v>
      </c>
      <c r="B2641" t="s">
        <v>384</v>
      </c>
      <c r="C2641" t="s">
        <v>123</v>
      </c>
      <c r="D2641" t="s">
        <v>65</v>
      </c>
      <c r="E2641" t="s">
        <v>1745</v>
      </c>
      <c r="F2641" s="13">
        <v>3</v>
      </c>
      <c r="G2641" s="14">
        <v>7902.62</v>
      </c>
      <c r="H2641" s="13">
        <v>127</v>
      </c>
      <c r="I2641" t="s">
        <v>76</v>
      </c>
    </row>
    <row r="2642" spans="1:9" x14ac:dyDescent="0.3">
      <c r="A2642">
        <v>7826</v>
      </c>
      <c r="B2642" t="s">
        <v>205</v>
      </c>
      <c r="C2642" t="s">
        <v>92</v>
      </c>
      <c r="D2642" t="s">
        <v>64</v>
      </c>
      <c r="E2642" t="s">
        <v>1745</v>
      </c>
      <c r="F2642" s="13">
        <v>1</v>
      </c>
      <c r="G2642" s="14">
        <v>7650.89</v>
      </c>
      <c r="H2642" s="13">
        <v>127</v>
      </c>
      <c r="I2642" t="s">
        <v>76</v>
      </c>
    </row>
    <row r="2643" spans="1:9" x14ac:dyDescent="0.3">
      <c r="A2643">
        <v>8233</v>
      </c>
      <c r="B2643" t="s">
        <v>318</v>
      </c>
      <c r="C2643" t="s">
        <v>249</v>
      </c>
      <c r="D2643" t="s">
        <v>67</v>
      </c>
      <c r="E2643" t="s">
        <v>1745</v>
      </c>
      <c r="F2643" s="13">
        <v>1</v>
      </c>
      <c r="G2643" s="14">
        <v>315.52</v>
      </c>
      <c r="H2643" s="13">
        <v>127</v>
      </c>
      <c r="I2643" t="s">
        <v>76</v>
      </c>
    </row>
    <row r="2644" spans="1:9" x14ac:dyDescent="0.3">
      <c r="A2644">
        <v>11</v>
      </c>
      <c r="B2644" t="s">
        <v>909</v>
      </c>
      <c r="C2644" t="s">
        <v>92</v>
      </c>
      <c r="D2644" t="s">
        <v>64</v>
      </c>
      <c r="E2644" t="s">
        <v>1748</v>
      </c>
      <c r="F2644" s="13">
        <v>1</v>
      </c>
      <c r="G2644" s="14">
        <v>2061.96</v>
      </c>
      <c r="H2644" s="13">
        <v>126</v>
      </c>
      <c r="I2644" t="s">
        <v>76</v>
      </c>
    </row>
    <row r="2645" spans="1:9" x14ac:dyDescent="0.3">
      <c r="A2645">
        <v>180</v>
      </c>
      <c r="B2645" t="s">
        <v>237</v>
      </c>
      <c r="C2645" t="s">
        <v>103</v>
      </c>
      <c r="D2645" t="s">
        <v>67</v>
      </c>
      <c r="E2645" t="s">
        <v>1748</v>
      </c>
      <c r="F2645" s="13">
        <v>4</v>
      </c>
      <c r="G2645" s="14">
        <v>5335.31</v>
      </c>
      <c r="H2645" s="13">
        <v>126</v>
      </c>
      <c r="I2645" t="s">
        <v>76</v>
      </c>
    </row>
    <row r="2646" spans="1:9" x14ac:dyDescent="0.3">
      <c r="A2646">
        <v>220</v>
      </c>
      <c r="B2646" t="s">
        <v>333</v>
      </c>
      <c r="C2646" t="s">
        <v>97</v>
      </c>
      <c r="D2646" t="s">
        <v>65</v>
      </c>
      <c r="E2646" t="s">
        <v>1748</v>
      </c>
      <c r="F2646" s="13">
        <v>3</v>
      </c>
      <c r="G2646" s="14">
        <v>3557.59</v>
      </c>
      <c r="H2646" s="13">
        <v>126</v>
      </c>
      <c r="I2646" t="s">
        <v>76</v>
      </c>
    </row>
    <row r="2647" spans="1:9" x14ac:dyDescent="0.3">
      <c r="A2647">
        <v>3262</v>
      </c>
      <c r="B2647" t="s">
        <v>1749</v>
      </c>
      <c r="C2647" t="s">
        <v>92</v>
      </c>
      <c r="D2647" t="s">
        <v>64</v>
      </c>
      <c r="E2647" t="s">
        <v>1748</v>
      </c>
      <c r="F2647" s="13">
        <v>1</v>
      </c>
      <c r="G2647" s="14">
        <v>3434.8</v>
      </c>
      <c r="H2647" s="13">
        <v>126</v>
      </c>
      <c r="I2647" t="s">
        <v>76</v>
      </c>
    </row>
    <row r="2648" spans="1:9" x14ac:dyDescent="0.3">
      <c r="A2648">
        <v>3716</v>
      </c>
      <c r="B2648" t="s">
        <v>1750</v>
      </c>
      <c r="C2648" t="s">
        <v>114</v>
      </c>
      <c r="D2648" t="s">
        <v>66</v>
      </c>
      <c r="E2648" t="s">
        <v>1748</v>
      </c>
      <c r="F2648" s="13">
        <v>2</v>
      </c>
      <c r="G2648" s="14">
        <v>867.01</v>
      </c>
      <c r="H2648" s="13">
        <v>126</v>
      </c>
      <c r="I2648" t="s">
        <v>76</v>
      </c>
    </row>
    <row r="2649" spans="1:9" x14ac:dyDescent="0.3">
      <c r="A2649">
        <v>4277</v>
      </c>
      <c r="B2649" t="s">
        <v>99</v>
      </c>
      <c r="C2649" t="s">
        <v>92</v>
      </c>
      <c r="D2649" t="s">
        <v>64</v>
      </c>
      <c r="E2649" t="s">
        <v>1748</v>
      </c>
      <c r="F2649" s="13">
        <v>2</v>
      </c>
      <c r="G2649" s="14">
        <v>1817.43</v>
      </c>
      <c r="H2649" s="13">
        <v>126</v>
      </c>
      <c r="I2649" t="s">
        <v>76</v>
      </c>
    </row>
    <row r="2650" spans="1:9" x14ac:dyDescent="0.3">
      <c r="A2650">
        <v>4988</v>
      </c>
      <c r="B2650" t="s">
        <v>1585</v>
      </c>
      <c r="C2650" t="s">
        <v>90</v>
      </c>
      <c r="D2650" t="s">
        <v>66</v>
      </c>
      <c r="E2650" t="s">
        <v>1748</v>
      </c>
      <c r="F2650" s="13">
        <v>2</v>
      </c>
      <c r="G2650" s="14">
        <v>2447.9299999999998</v>
      </c>
      <c r="H2650" s="13">
        <v>126</v>
      </c>
      <c r="I2650" t="s">
        <v>76</v>
      </c>
    </row>
    <row r="2651" spans="1:9" x14ac:dyDescent="0.3">
      <c r="A2651">
        <v>6474</v>
      </c>
      <c r="B2651" t="s">
        <v>466</v>
      </c>
      <c r="C2651" t="s">
        <v>123</v>
      </c>
      <c r="D2651" t="s">
        <v>65</v>
      </c>
      <c r="E2651" t="s">
        <v>1748</v>
      </c>
      <c r="F2651" s="13">
        <v>1</v>
      </c>
      <c r="G2651" s="14">
        <v>71.27</v>
      </c>
      <c r="H2651" s="13">
        <v>126</v>
      </c>
      <c r="I2651" t="s">
        <v>76</v>
      </c>
    </row>
    <row r="2652" spans="1:9" x14ac:dyDescent="0.3">
      <c r="A2652">
        <v>7079</v>
      </c>
      <c r="B2652" t="s">
        <v>1751</v>
      </c>
      <c r="C2652" t="s">
        <v>92</v>
      </c>
      <c r="D2652" t="s">
        <v>64</v>
      </c>
      <c r="E2652" t="s">
        <v>1748</v>
      </c>
      <c r="F2652" s="13">
        <v>4</v>
      </c>
      <c r="G2652" s="14">
        <v>9955.1299999999992</v>
      </c>
      <c r="H2652" s="13">
        <v>126</v>
      </c>
      <c r="I2652" t="s">
        <v>76</v>
      </c>
    </row>
    <row r="2653" spans="1:9" x14ac:dyDescent="0.3">
      <c r="A2653">
        <v>7132</v>
      </c>
      <c r="B2653" t="s">
        <v>1752</v>
      </c>
      <c r="C2653" t="s">
        <v>87</v>
      </c>
      <c r="D2653" t="s">
        <v>64</v>
      </c>
      <c r="E2653" t="s">
        <v>1748</v>
      </c>
      <c r="F2653" s="13">
        <v>1</v>
      </c>
      <c r="G2653" s="14">
        <v>6694.36</v>
      </c>
      <c r="H2653" s="13">
        <v>126</v>
      </c>
      <c r="I2653" t="s">
        <v>76</v>
      </c>
    </row>
    <row r="2654" spans="1:9" x14ac:dyDescent="0.3">
      <c r="A2654">
        <v>8104</v>
      </c>
      <c r="B2654" t="s">
        <v>264</v>
      </c>
      <c r="C2654" t="s">
        <v>92</v>
      </c>
      <c r="D2654" t="s">
        <v>64</v>
      </c>
      <c r="E2654" t="s">
        <v>1748</v>
      </c>
      <c r="F2654" s="13">
        <v>4</v>
      </c>
      <c r="G2654" s="14">
        <v>8826.98</v>
      </c>
      <c r="H2654" s="13">
        <v>126</v>
      </c>
      <c r="I2654" t="s">
        <v>76</v>
      </c>
    </row>
    <row r="2655" spans="1:9" x14ac:dyDescent="0.3">
      <c r="A2655">
        <v>422</v>
      </c>
      <c r="B2655" t="s">
        <v>1753</v>
      </c>
      <c r="C2655" t="s">
        <v>92</v>
      </c>
      <c r="D2655" t="s">
        <v>64</v>
      </c>
      <c r="E2655" t="s">
        <v>1754</v>
      </c>
      <c r="F2655" s="13">
        <v>2</v>
      </c>
      <c r="G2655" s="14">
        <v>5961.18</v>
      </c>
      <c r="H2655" s="13">
        <v>125</v>
      </c>
      <c r="I2655" t="s">
        <v>76</v>
      </c>
    </row>
    <row r="2656" spans="1:9" x14ac:dyDescent="0.3">
      <c r="A2656">
        <v>684</v>
      </c>
      <c r="B2656" t="s">
        <v>1755</v>
      </c>
      <c r="C2656" t="s">
        <v>92</v>
      </c>
      <c r="D2656" t="s">
        <v>64</v>
      </c>
      <c r="E2656" t="s">
        <v>1754</v>
      </c>
      <c r="F2656" s="13">
        <v>4</v>
      </c>
      <c r="G2656" s="14">
        <v>3544.67</v>
      </c>
      <c r="H2656" s="13">
        <v>125</v>
      </c>
      <c r="I2656" t="s">
        <v>76</v>
      </c>
    </row>
    <row r="2657" spans="1:9" x14ac:dyDescent="0.3">
      <c r="A2657">
        <v>2238</v>
      </c>
      <c r="B2657" t="s">
        <v>638</v>
      </c>
      <c r="C2657" t="s">
        <v>103</v>
      </c>
      <c r="D2657" t="s">
        <v>67</v>
      </c>
      <c r="E2657" t="s">
        <v>1754</v>
      </c>
      <c r="F2657" s="13">
        <v>1</v>
      </c>
      <c r="G2657" s="14">
        <v>88.86</v>
      </c>
      <c r="H2657" s="13">
        <v>125</v>
      </c>
      <c r="I2657" t="s">
        <v>76</v>
      </c>
    </row>
    <row r="2658" spans="1:9" x14ac:dyDescent="0.3">
      <c r="A2658">
        <v>2825</v>
      </c>
      <c r="B2658" t="s">
        <v>1029</v>
      </c>
      <c r="C2658" t="s">
        <v>92</v>
      </c>
      <c r="D2658" t="s">
        <v>64</v>
      </c>
      <c r="E2658" t="s">
        <v>1754</v>
      </c>
      <c r="F2658" s="13">
        <v>3</v>
      </c>
      <c r="G2658" s="14">
        <v>779</v>
      </c>
      <c r="H2658" s="13">
        <v>125</v>
      </c>
      <c r="I2658" t="s">
        <v>76</v>
      </c>
    </row>
    <row r="2659" spans="1:9" x14ac:dyDescent="0.3">
      <c r="A2659">
        <v>3160</v>
      </c>
      <c r="B2659" t="s">
        <v>257</v>
      </c>
      <c r="C2659" t="s">
        <v>90</v>
      </c>
      <c r="D2659" t="s">
        <v>66</v>
      </c>
      <c r="E2659" t="s">
        <v>1754</v>
      </c>
      <c r="F2659" s="13">
        <v>1</v>
      </c>
      <c r="G2659" s="14">
        <v>1811.45</v>
      </c>
      <c r="H2659" s="13">
        <v>125</v>
      </c>
      <c r="I2659" t="s">
        <v>76</v>
      </c>
    </row>
    <row r="2660" spans="1:9" x14ac:dyDescent="0.3">
      <c r="A2660">
        <v>3951</v>
      </c>
      <c r="B2660" t="s">
        <v>400</v>
      </c>
      <c r="C2660" t="s">
        <v>87</v>
      </c>
      <c r="D2660" t="s">
        <v>64</v>
      </c>
      <c r="E2660" t="s">
        <v>1754</v>
      </c>
      <c r="F2660" s="13">
        <v>2</v>
      </c>
      <c r="G2660" s="14">
        <v>444.54</v>
      </c>
      <c r="H2660" s="13">
        <v>125</v>
      </c>
      <c r="I2660" t="s">
        <v>76</v>
      </c>
    </row>
    <row r="2661" spans="1:9" x14ac:dyDescent="0.3">
      <c r="A2661">
        <v>4762</v>
      </c>
      <c r="B2661" t="s">
        <v>882</v>
      </c>
      <c r="C2661" t="s">
        <v>97</v>
      </c>
      <c r="D2661" t="s">
        <v>65</v>
      </c>
      <c r="E2661" t="s">
        <v>1754</v>
      </c>
      <c r="F2661" s="13">
        <v>1</v>
      </c>
      <c r="G2661" s="14">
        <v>573.63</v>
      </c>
      <c r="H2661" s="13">
        <v>125</v>
      </c>
      <c r="I2661" t="s">
        <v>76</v>
      </c>
    </row>
    <row r="2662" spans="1:9" x14ac:dyDescent="0.3">
      <c r="A2662">
        <v>5482</v>
      </c>
      <c r="B2662" t="s">
        <v>1756</v>
      </c>
      <c r="C2662" t="s">
        <v>114</v>
      </c>
      <c r="D2662" t="s">
        <v>66</v>
      </c>
      <c r="E2662" t="s">
        <v>1754</v>
      </c>
      <c r="F2662" s="13">
        <v>2</v>
      </c>
      <c r="G2662" s="14">
        <v>3118.63</v>
      </c>
      <c r="H2662" s="13">
        <v>125</v>
      </c>
      <c r="I2662" t="s">
        <v>76</v>
      </c>
    </row>
    <row r="2663" spans="1:9" x14ac:dyDescent="0.3">
      <c r="A2663">
        <v>6365</v>
      </c>
      <c r="B2663" t="s">
        <v>1757</v>
      </c>
      <c r="C2663" t="s">
        <v>87</v>
      </c>
      <c r="D2663" t="s">
        <v>64</v>
      </c>
      <c r="E2663" t="s">
        <v>1754</v>
      </c>
      <c r="F2663" s="13">
        <v>1</v>
      </c>
      <c r="G2663" s="14">
        <v>523.52</v>
      </c>
      <c r="H2663" s="13">
        <v>125</v>
      </c>
      <c r="I2663" t="s">
        <v>76</v>
      </c>
    </row>
    <row r="2664" spans="1:9" x14ac:dyDescent="0.3">
      <c r="A2664">
        <v>6366</v>
      </c>
      <c r="B2664" t="s">
        <v>142</v>
      </c>
      <c r="C2664" t="s">
        <v>95</v>
      </c>
      <c r="D2664" t="s">
        <v>65</v>
      </c>
      <c r="E2664" t="s">
        <v>1754</v>
      </c>
      <c r="F2664" s="13">
        <v>3</v>
      </c>
      <c r="G2664" s="14">
        <v>8529.6</v>
      </c>
      <c r="H2664" s="13">
        <v>125</v>
      </c>
      <c r="I2664" t="s">
        <v>76</v>
      </c>
    </row>
    <row r="2665" spans="1:9" x14ac:dyDescent="0.3">
      <c r="A2665">
        <v>7117</v>
      </c>
      <c r="B2665" t="s">
        <v>340</v>
      </c>
      <c r="C2665" t="s">
        <v>137</v>
      </c>
      <c r="D2665" t="s">
        <v>64</v>
      </c>
      <c r="E2665" t="s">
        <v>1754</v>
      </c>
      <c r="F2665" s="13">
        <v>3</v>
      </c>
      <c r="G2665" s="14">
        <v>4861.09</v>
      </c>
      <c r="H2665" s="13">
        <v>125</v>
      </c>
      <c r="I2665" t="s">
        <v>76</v>
      </c>
    </row>
    <row r="2666" spans="1:9" x14ac:dyDescent="0.3">
      <c r="A2666">
        <v>8766</v>
      </c>
      <c r="B2666" t="s">
        <v>1424</v>
      </c>
      <c r="C2666" t="s">
        <v>121</v>
      </c>
      <c r="D2666" t="s">
        <v>67</v>
      </c>
      <c r="E2666" t="s">
        <v>1754</v>
      </c>
      <c r="F2666" s="13">
        <v>2</v>
      </c>
      <c r="G2666" s="14">
        <v>652.37</v>
      </c>
      <c r="H2666" s="13">
        <v>125</v>
      </c>
      <c r="I2666" t="s">
        <v>76</v>
      </c>
    </row>
    <row r="2667" spans="1:9" x14ac:dyDescent="0.3">
      <c r="A2667">
        <v>273</v>
      </c>
      <c r="B2667" t="s">
        <v>404</v>
      </c>
      <c r="C2667" t="s">
        <v>100</v>
      </c>
      <c r="D2667" t="s">
        <v>66</v>
      </c>
      <c r="E2667" t="s">
        <v>1758</v>
      </c>
      <c r="F2667" s="13">
        <v>4</v>
      </c>
      <c r="G2667" s="14">
        <v>1763.97</v>
      </c>
      <c r="H2667" s="13">
        <v>124</v>
      </c>
      <c r="I2667" t="s">
        <v>76</v>
      </c>
    </row>
    <row r="2668" spans="1:9" x14ac:dyDescent="0.3">
      <c r="A2668">
        <v>359</v>
      </c>
      <c r="B2668" t="s">
        <v>1759</v>
      </c>
      <c r="C2668" t="s">
        <v>92</v>
      </c>
      <c r="D2668" t="s">
        <v>64</v>
      </c>
      <c r="E2668" t="s">
        <v>1758</v>
      </c>
      <c r="F2668" s="13">
        <v>1</v>
      </c>
      <c r="G2668" s="14">
        <v>11445.98</v>
      </c>
      <c r="H2668" s="13">
        <v>124</v>
      </c>
      <c r="I2668" t="s">
        <v>76</v>
      </c>
    </row>
    <row r="2669" spans="1:9" x14ac:dyDescent="0.3">
      <c r="A2669">
        <v>967</v>
      </c>
      <c r="B2669" t="s">
        <v>1214</v>
      </c>
      <c r="C2669" t="s">
        <v>92</v>
      </c>
      <c r="D2669" t="s">
        <v>64</v>
      </c>
      <c r="E2669" t="s">
        <v>1758</v>
      </c>
      <c r="F2669" s="13">
        <v>3</v>
      </c>
      <c r="G2669" s="14">
        <v>4471.8599999999997</v>
      </c>
      <c r="H2669" s="13">
        <v>124</v>
      </c>
      <c r="I2669" t="s">
        <v>76</v>
      </c>
    </row>
    <row r="2670" spans="1:9" x14ac:dyDescent="0.3">
      <c r="A2670">
        <v>1034</v>
      </c>
      <c r="B2670" t="s">
        <v>445</v>
      </c>
      <c r="C2670" t="s">
        <v>103</v>
      </c>
      <c r="D2670" t="s">
        <v>67</v>
      </c>
      <c r="E2670" t="s">
        <v>1758</v>
      </c>
      <c r="F2670" s="13">
        <v>3</v>
      </c>
      <c r="G2670" s="14">
        <v>5176.67</v>
      </c>
      <c r="H2670" s="13">
        <v>124</v>
      </c>
      <c r="I2670" t="s">
        <v>76</v>
      </c>
    </row>
    <row r="2671" spans="1:9" x14ac:dyDescent="0.3">
      <c r="A2671">
        <v>1704</v>
      </c>
      <c r="B2671" t="s">
        <v>559</v>
      </c>
      <c r="C2671" t="s">
        <v>97</v>
      </c>
      <c r="D2671" t="s">
        <v>65</v>
      </c>
      <c r="E2671" t="s">
        <v>1758</v>
      </c>
      <c r="F2671" s="13">
        <v>4</v>
      </c>
      <c r="G2671" s="14">
        <v>7565.36</v>
      </c>
      <c r="H2671" s="13">
        <v>124</v>
      </c>
      <c r="I2671" t="s">
        <v>76</v>
      </c>
    </row>
    <row r="2672" spans="1:9" x14ac:dyDescent="0.3">
      <c r="A2672">
        <v>2543</v>
      </c>
      <c r="B2672" t="s">
        <v>636</v>
      </c>
      <c r="C2672" t="s">
        <v>90</v>
      </c>
      <c r="D2672" t="s">
        <v>66</v>
      </c>
      <c r="E2672" t="s">
        <v>1758</v>
      </c>
      <c r="F2672" s="13">
        <v>5</v>
      </c>
      <c r="G2672" s="14">
        <v>3114.17</v>
      </c>
      <c r="H2672" s="13">
        <v>124</v>
      </c>
      <c r="I2672" t="s">
        <v>76</v>
      </c>
    </row>
    <row r="2673" spans="1:9" x14ac:dyDescent="0.3">
      <c r="A2673">
        <v>2977</v>
      </c>
      <c r="B2673" t="s">
        <v>1760</v>
      </c>
      <c r="C2673" t="s">
        <v>92</v>
      </c>
      <c r="D2673" t="s">
        <v>64</v>
      </c>
      <c r="E2673" t="s">
        <v>1758</v>
      </c>
      <c r="F2673" s="13">
        <v>2</v>
      </c>
      <c r="G2673" s="14">
        <v>2793.41</v>
      </c>
      <c r="H2673" s="13">
        <v>124</v>
      </c>
      <c r="I2673" t="s">
        <v>76</v>
      </c>
    </row>
    <row r="2674" spans="1:9" x14ac:dyDescent="0.3">
      <c r="A2674">
        <v>3009</v>
      </c>
      <c r="B2674" t="s">
        <v>534</v>
      </c>
      <c r="C2674" t="s">
        <v>92</v>
      </c>
      <c r="D2674" t="s">
        <v>64</v>
      </c>
      <c r="E2674" t="s">
        <v>1758</v>
      </c>
      <c r="F2674" s="13">
        <v>1</v>
      </c>
      <c r="G2674" s="14">
        <v>244.12</v>
      </c>
      <c r="H2674" s="13">
        <v>124</v>
      </c>
      <c r="I2674" t="s">
        <v>76</v>
      </c>
    </row>
    <row r="2675" spans="1:9" x14ac:dyDescent="0.3">
      <c r="A2675">
        <v>3418</v>
      </c>
      <c r="B2675" t="s">
        <v>175</v>
      </c>
      <c r="C2675" t="s">
        <v>97</v>
      </c>
      <c r="D2675" t="s">
        <v>65</v>
      </c>
      <c r="E2675" t="s">
        <v>1758</v>
      </c>
      <c r="F2675" s="13">
        <v>4</v>
      </c>
      <c r="G2675" s="14">
        <v>3342.12</v>
      </c>
      <c r="H2675" s="13">
        <v>124</v>
      </c>
      <c r="I2675" t="s">
        <v>76</v>
      </c>
    </row>
    <row r="2676" spans="1:9" x14ac:dyDescent="0.3">
      <c r="A2676">
        <v>3493</v>
      </c>
      <c r="B2676" t="s">
        <v>505</v>
      </c>
      <c r="C2676" t="s">
        <v>92</v>
      </c>
      <c r="D2676" t="s">
        <v>64</v>
      </c>
      <c r="E2676" t="s">
        <v>1758</v>
      </c>
      <c r="F2676" s="13">
        <v>1</v>
      </c>
      <c r="G2676" s="14">
        <v>8192.4699999999993</v>
      </c>
      <c r="H2676" s="13">
        <v>124</v>
      </c>
      <c r="I2676" t="s">
        <v>76</v>
      </c>
    </row>
    <row r="2677" spans="1:9" x14ac:dyDescent="0.3">
      <c r="A2677">
        <v>4194</v>
      </c>
      <c r="B2677" t="s">
        <v>302</v>
      </c>
      <c r="C2677" t="s">
        <v>92</v>
      </c>
      <c r="D2677" t="s">
        <v>64</v>
      </c>
      <c r="E2677" t="s">
        <v>1758</v>
      </c>
      <c r="F2677" s="13">
        <v>4</v>
      </c>
      <c r="G2677" s="14">
        <v>2534.41</v>
      </c>
      <c r="H2677" s="13">
        <v>124</v>
      </c>
      <c r="I2677" t="s">
        <v>76</v>
      </c>
    </row>
    <row r="2678" spans="1:9" x14ac:dyDescent="0.3">
      <c r="A2678">
        <v>4308</v>
      </c>
      <c r="B2678" t="s">
        <v>353</v>
      </c>
      <c r="C2678" t="s">
        <v>137</v>
      </c>
      <c r="D2678" t="s">
        <v>64</v>
      </c>
      <c r="E2678" t="s">
        <v>1758</v>
      </c>
      <c r="F2678" s="13">
        <v>2</v>
      </c>
      <c r="G2678" s="14">
        <v>1557.68</v>
      </c>
      <c r="H2678" s="13">
        <v>124</v>
      </c>
      <c r="I2678" t="s">
        <v>76</v>
      </c>
    </row>
    <row r="2679" spans="1:9" x14ac:dyDescent="0.3">
      <c r="A2679">
        <v>5128</v>
      </c>
      <c r="B2679" t="s">
        <v>1761</v>
      </c>
      <c r="C2679" t="s">
        <v>123</v>
      </c>
      <c r="D2679" t="s">
        <v>65</v>
      </c>
      <c r="E2679" t="s">
        <v>1758</v>
      </c>
      <c r="F2679" s="13">
        <v>2</v>
      </c>
      <c r="G2679" s="14">
        <v>2586.31</v>
      </c>
      <c r="H2679" s="13">
        <v>124</v>
      </c>
      <c r="I2679" t="s">
        <v>76</v>
      </c>
    </row>
    <row r="2680" spans="1:9" x14ac:dyDescent="0.3">
      <c r="A2680">
        <v>6335</v>
      </c>
      <c r="B2680" t="s">
        <v>1762</v>
      </c>
      <c r="C2680" t="s">
        <v>90</v>
      </c>
      <c r="D2680" t="s">
        <v>66</v>
      </c>
      <c r="E2680" t="s">
        <v>1758</v>
      </c>
      <c r="F2680" s="13">
        <v>8</v>
      </c>
      <c r="G2680" s="14">
        <v>18002.61</v>
      </c>
      <c r="H2680" s="13">
        <v>124</v>
      </c>
      <c r="I2680" t="s">
        <v>76</v>
      </c>
    </row>
    <row r="2681" spans="1:9" x14ac:dyDescent="0.3">
      <c r="A2681">
        <v>7204</v>
      </c>
      <c r="B2681" t="s">
        <v>135</v>
      </c>
      <c r="C2681" t="s">
        <v>123</v>
      </c>
      <c r="D2681" t="s">
        <v>65</v>
      </c>
      <c r="E2681" t="s">
        <v>1758</v>
      </c>
      <c r="F2681" s="13">
        <v>1</v>
      </c>
      <c r="G2681" s="14">
        <v>1102.97</v>
      </c>
      <c r="H2681" s="13">
        <v>124</v>
      </c>
      <c r="I2681" t="s">
        <v>76</v>
      </c>
    </row>
    <row r="2682" spans="1:9" x14ac:dyDescent="0.3">
      <c r="A2682">
        <v>1389</v>
      </c>
      <c r="B2682" t="s">
        <v>1763</v>
      </c>
      <c r="C2682" t="s">
        <v>95</v>
      </c>
      <c r="D2682" t="s">
        <v>65</v>
      </c>
      <c r="E2682" t="s">
        <v>1764</v>
      </c>
      <c r="F2682" s="13">
        <v>1</v>
      </c>
      <c r="G2682" s="14">
        <v>4158.13</v>
      </c>
      <c r="H2682" s="13">
        <v>123</v>
      </c>
      <c r="I2682" t="s">
        <v>76</v>
      </c>
    </row>
    <row r="2683" spans="1:9" x14ac:dyDescent="0.3">
      <c r="A2683">
        <v>1441</v>
      </c>
      <c r="B2683" t="s">
        <v>414</v>
      </c>
      <c r="C2683" t="s">
        <v>92</v>
      </c>
      <c r="D2683" t="s">
        <v>64</v>
      </c>
      <c r="E2683" t="s">
        <v>1764</v>
      </c>
      <c r="F2683" s="13">
        <v>1</v>
      </c>
      <c r="G2683" s="14">
        <v>74.73</v>
      </c>
      <c r="H2683" s="13">
        <v>123</v>
      </c>
      <c r="I2683" t="s">
        <v>76</v>
      </c>
    </row>
    <row r="2684" spans="1:9" x14ac:dyDescent="0.3">
      <c r="A2684">
        <v>2368</v>
      </c>
      <c r="B2684" t="s">
        <v>527</v>
      </c>
      <c r="C2684" t="s">
        <v>90</v>
      </c>
      <c r="D2684" t="s">
        <v>66</v>
      </c>
      <c r="E2684" t="s">
        <v>1764</v>
      </c>
      <c r="F2684" s="13">
        <v>1</v>
      </c>
      <c r="G2684" s="14">
        <v>926.15</v>
      </c>
      <c r="H2684" s="13">
        <v>123</v>
      </c>
      <c r="I2684" t="s">
        <v>76</v>
      </c>
    </row>
    <row r="2685" spans="1:9" x14ac:dyDescent="0.3">
      <c r="A2685">
        <v>2717</v>
      </c>
      <c r="B2685" t="s">
        <v>1765</v>
      </c>
      <c r="C2685" t="s">
        <v>92</v>
      </c>
      <c r="D2685" t="s">
        <v>64</v>
      </c>
      <c r="E2685" t="s">
        <v>1764</v>
      </c>
      <c r="F2685" s="13">
        <v>3</v>
      </c>
      <c r="G2685" s="14">
        <v>6835.98</v>
      </c>
      <c r="H2685" s="13">
        <v>123</v>
      </c>
      <c r="I2685" t="s">
        <v>76</v>
      </c>
    </row>
    <row r="2686" spans="1:9" x14ac:dyDescent="0.3">
      <c r="A2686">
        <v>2860</v>
      </c>
      <c r="B2686" t="s">
        <v>1766</v>
      </c>
      <c r="C2686" t="s">
        <v>100</v>
      </c>
      <c r="D2686" t="s">
        <v>66</v>
      </c>
      <c r="E2686" t="s">
        <v>1764</v>
      </c>
      <c r="F2686" s="13">
        <v>1</v>
      </c>
      <c r="G2686" s="14">
        <v>1674.26</v>
      </c>
      <c r="H2686" s="13">
        <v>123</v>
      </c>
      <c r="I2686" t="s">
        <v>76</v>
      </c>
    </row>
    <row r="2687" spans="1:9" x14ac:dyDescent="0.3">
      <c r="A2687">
        <v>2997</v>
      </c>
      <c r="B2687" t="s">
        <v>1767</v>
      </c>
      <c r="C2687" t="s">
        <v>137</v>
      </c>
      <c r="D2687" t="s">
        <v>64</v>
      </c>
      <c r="E2687" t="s">
        <v>1764</v>
      </c>
      <c r="F2687" s="13">
        <v>6</v>
      </c>
      <c r="G2687" s="14">
        <v>15567.2</v>
      </c>
      <c r="H2687" s="13">
        <v>123</v>
      </c>
      <c r="I2687" t="s">
        <v>76</v>
      </c>
    </row>
    <row r="2688" spans="1:9" x14ac:dyDescent="0.3">
      <c r="A2688">
        <v>5815</v>
      </c>
      <c r="B2688" t="s">
        <v>1768</v>
      </c>
      <c r="C2688" t="s">
        <v>92</v>
      </c>
      <c r="D2688" t="s">
        <v>64</v>
      </c>
      <c r="E2688" t="s">
        <v>1764</v>
      </c>
      <c r="F2688" s="13">
        <v>2</v>
      </c>
      <c r="G2688" s="14">
        <v>449.57</v>
      </c>
      <c r="H2688" s="13">
        <v>123</v>
      </c>
      <c r="I2688" t="s">
        <v>76</v>
      </c>
    </row>
    <row r="2689" spans="1:9" x14ac:dyDescent="0.3">
      <c r="A2689">
        <v>6071</v>
      </c>
      <c r="B2689" t="s">
        <v>1769</v>
      </c>
      <c r="C2689" t="s">
        <v>133</v>
      </c>
      <c r="D2689" t="s">
        <v>64</v>
      </c>
      <c r="E2689" t="s">
        <v>1764</v>
      </c>
      <c r="F2689" s="13">
        <v>4</v>
      </c>
      <c r="G2689" s="14">
        <v>8282.19</v>
      </c>
      <c r="H2689" s="13">
        <v>123</v>
      </c>
      <c r="I2689" t="s">
        <v>76</v>
      </c>
    </row>
    <row r="2690" spans="1:9" x14ac:dyDescent="0.3">
      <c r="A2690">
        <v>6851</v>
      </c>
      <c r="B2690" t="s">
        <v>1770</v>
      </c>
      <c r="C2690" t="s">
        <v>92</v>
      </c>
      <c r="D2690" t="s">
        <v>64</v>
      </c>
      <c r="E2690" t="s">
        <v>1764</v>
      </c>
      <c r="F2690" s="13">
        <v>1</v>
      </c>
      <c r="G2690" s="14">
        <v>396.62</v>
      </c>
      <c r="H2690" s="13">
        <v>123</v>
      </c>
      <c r="I2690" t="s">
        <v>76</v>
      </c>
    </row>
    <row r="2691" spans="1:9" x14ac:dyDescent="0.3">
      <c r="A2691">
        <v>7694</v>
      </c>
      <c r="B2691" t="s">
        <v>1771</v>
      </c>
      <c r="C2691" t="s">
        <v>92</v>
      </c>
      <c r="D2691" t="s">
        <v>64</v>
      </c>
      <c r="E2691" t="s">
        <v>1764</v>
      </c>
      <c r="F2691" s="13">
        <v>3</v>
      </c>
      <c r="G2691" s="14">
        <v>11045.4</v>
      </c>
      <c r="H2691" s="13">
        <v>123</v>
      </c>
      <c r="I2691" t="s">
        <v>76</v>
      </c>
    </row>
    <row r="2692" spans="1:9" x14ac:dyDescent="0.3">
      <c r="A2692">
        <v>7762</v>
      </c>
      <c r="B2692" t="s">
        <v>645</v>
      </c>
      <c r="C2692" t="s">
        <v>87</v>
      </c>
      <c r="D2692" t="s">
        <v>64</v>
      </c>
      <c r="E2692" t="s">
        <v>1764</v>
      </c>
      <c r="F2692" s="13">
        <v>1</v>
      </c>
      <c r="G2692" s="14">
        <v>850.71</v>
      </c>
      <c r="H2692" s="13">
        <v>123</v>
      </c>
      <c r="I2692" t="s">
        <v>76</v>
      </c>
    </row>
    <row r="2693" spans="1:9" x14ac:dyDescent="0.3">
      <c r="A2693">
        <v>8158</v>
      </c>
      <c r="B2693" t="s">
        <v>558</v>
      </c>
      <c r="C2693" t="s">
        <v>121</v>
      </c>
      <c r="D2693" t="s">
        <v>67</v>
      </c>
      <c r="E2693" t="s">
        <v>1764</v>
      </c>
      <c r="F2693" s="13">
        <v>1</v>
      </c>
      <c r="G2693" s="14">
        <v>351.87</v>
      </c>
      <c r="H2693" s="13">
        <v>123</v>
      </c>
      <c r="I2693" t="s">
        <v>76</v>
      </c>
    </row>
    <row r="2694" spans="1:9" x14ac:dyDescent="0.3">
      <c r="A2694">
        <v>8225</v>
      </c>
      <c r="B2694" t="s">
        <v>169</v>
      </c>
      <c r="C2694" t="s">
        <v>249</v>
      </c>
      <c r="D2694" t="s">
        <v>67</v>
      </c>
      <c r="E2694" t="s">
        <v>1764</v>
      </c>
      <c r="F2694" s="13">
        <v>4</v>
      </c>
      <c r="G2694" s="14">
        <v>1085.22</v>
      </c>
      <c r="H2694" s="13">
        <v>123</v>
      </c>
      <c r="I2694" t="s">
        <v>76</v>
      </c>
    </row>
    <row r="2695" spans="1:9" x14ac:dyDescent="0.3">
      <c r="A2695">
        <v>8794</v>
      </c>
      <c r="B2695" t="s">
        <v>153</v>
      </c>
      <c r="C2695" t="s">
        <v>133</v>
      </c>
      <c r="D2695" t="s">
        <v>64</v>
      </c>
      <c r="E2695" t="s">
        <v>1764</v>
      </c>
      <c r="F2695" s="13">
        <v>1</v>
      </c>
      <c r="G2695" s="14">
        <v>4140.3900000000003</v>
      </c>
      <c r="H2695" s="13">
        <v>123</v>
      </c>
      <c r="I2695" t="s">
        <v>76</v>
      </c>
    </row>
    <row r="2696" spans="1:9" x14ac:dyDescent="0.3">
      <c r="A2696">
        <v>544</v>
      </c>
      <c r="B2696" t="s">
        <v>94</v>
      </c>
      <c r="C2696" t="s">
        <v>103</v>
      </c>
      <c r="D2696" t="s">
        <v>67</v>
      </c>
      <c r="E2696" t="s">
        <v>1772</v>
      </c>
      <c r="F2696" s="13">
        <v>3</v>
      </c>
      <c r="G2696" s="14">
        <v>3638.24</v>
      </c>
      <c r="H2696" s="13">
        <v>122</v>
      </c>
      <c r="I2696" t="s">
        <v>76</v>
      </c>
    </row>
    <row r="2697" spans="1:9" x14ac:dyDescent="0.3">
      <c r="A2697">
        <v>1116</v>
      </c>
      <c r="B2697" t="s">
        <v>954</v>
      </c>
      <c r="C2697" t="s">
        <v>133</v>
      </c>
      <c r="D2697" t="s">
        <v>64</v>
      </c>
      <c r="E2697" t="s">
        <v>1772</v>
      </c>
      <c r="F2697" s="13">
        <v>5</v>
      </c>
      <c r="G2697" s="14">
        <v>9076.69</v>
      </c>
      <c r="H2697" s="13">
        <v>122</v>
      </c>
      <c r="I2697" t="s">
        <v>76</v>
      </c>
    </row>
    <row r="2698" spans="1:9" x14ac:dyDescent="0.3">
      <c r="A2698">
        <v>1528</v>
      </c>
      <c r="B2698" t="s">
        <v>1773</v>
      </c>
      <c r="C2698" t="s">
        <v>249</v>
      </c>
      <c r="D2698" t="s">
        <v>67</v>
      </c>
      <c r="E2698" t="s">
        <v>1772</v>
      </c>
      <c r="F2698" s="13">
        <v>4</v>
      </c>
      <c r="G2698" s="14">
        <v>13806.98</v>
      </c>
      <c r="H2698" s="13">
        <v>122</v>
      </c>
      <c r="I2698" t="s">
        <v>76</v>
      </c>
    </row>
    <row r="2699" spans="1:9" x14ac:dyDescent="0.3">
      <c r="A2699">
        <v>1563</v>
      </c>
      <c r="B2699" t="s">
        <v>1774</v>
      </c>
      <c r="C2699" t="s">
        <v>133</v>
      </c>
      <c r="D2699" t="s">
        <v>64</v>
      </c>
      <c r="E2699" t="s">
        <v>1772</v>
      </c>
      <c r="F2699" s="13">
        <v>2</v>
      </c>
      <c r="G2699" s="14">
        <v>3015.98</v>
      </c>
      <c r="H2699" s="13">
        <v>122</v>
      </c>
      <c r="I2699" t="s">
        <v>76</v>
      </c>
    </row>
    <row r="2700" spans="1:9" x14ac:dyDescent="0.3">
      <c r="A2700">
        <v>2618</v>
      </c>
      <c r="B2700" t="s">
        <v>138</v>
      </c>
      <c r="C2700" t="s">
        <v>92</v>
      </c>
      <c r="D2700" t="s">
        <v>64</v>
      </c>
      <c r="E2700" t="s">
        <v>1772</v>
      </c>
      <c r="F2700" s="13">
        <v>1</v>
      </c>
      <c r="G2700" s="14">
        <v>466.32</v>
      </c>
      <c r="H2700" s="13">
        <v>122</v>
      </c>
      <c r="I2700" t="s">
        <v>76</v>
      </c>
    </row>
    <row r="2701" spans="1:9" x14ac:dyDescent="0.3">
      <c r="A2701">
        <v>2774</v>
      </c>
      <c r="B2701" t="s">
        <v>207</v>
      </c>
      <c r="C2701" t="s">
        <v>103</v>
      </c>
      <c r="D2701" t="s">
        <v>67</v>
      </c>
      <c r="E2701" t="s">
        <v>1772</v>
      </c>
      <c r="F2701" s="13">
        <v>7</v>
      </c>
      <c r="G2701" s="14">
        <v>29918.45</v>
      </c>
      <c r="H2701" s="13">
        <v>122</v>
      </c>
      <c r="I2701" t="s">
        <v>76</v>
      </c>
    </row>
    <row r="2702" spans="1:9" x14ac:dyDescent="0.3">
      <c r="A2702">
        <v>3020</v>
      </c>
      <c r="B2702" t="s">
        <v>1775</v>
      </c>
      <c r="C2702" t="s">
        <v>92</v>
      </c>
      <c r="D2702" t="s">
        <v>64</v>
      </c>
      <c r="E2702" t="s">
        <v>1772</v>
      </c>
      <c r="F2702" s="13">
        <v>3</v>
      </c>
      <c r="G2702" s="14">
        <v>2526.3000000000002</v>
      </c>
      <c r="H2702" s="13">
        <v>122</v>
      </c>
      <c r="I2702" t="s">
        <v>76</v>
      </c>
    </row>
    <row r="2703" spans="1:9" x14ac:dyDescent="0.3">
      <c r="A2703">
        <v>3103</v>
      </c>
      <c r="B2703" t="s">
        <v>1776</v>
      </c>
      <c r="C2703" t="s">
        <v>123</v>
      </c>
      <c r="D2703" t="s">
        <v>65</v>
      </c>
      <c r="E2703" t="s">
        <v>1772</v>
      </c>
      <c r="F2703" s="13">
        <v>1</v>
      </c>
      <c r="G2703" s="14">
        <v>3082.09</v>
      </c>
      <c r="H2703" s="13">
        <v>122</v>
      </c>
      <c r="I2703" t="s">
        <v>76</v>
      </c>
    </row>
    <row r="2704" spans="1:9" x14ac:dyDescent="0.3">
      <c r="A2704">
        <v>3307</v>
      </c>
      <c r="B2704" t="s">
        <v>1777</v>
      </c>
      <c r="C2704" t="s">
        <v>133</v>
      </c>
      <c r="D2704" t="s">
        <v>64</v>
      </c>
      <c r="E2704" t="s">
        <v>1772</v>
      </c>
      <c r="F2704" s="13">
        <v>1</v>
      </c>
      <c r="G2704" s="14">
        <v>258.49</v>
      </c>
      <c r="H2704" s="13">
        <v>122</v>
      </c>
      <c r="I2704" t="s">
        <v>76</v>
      </c>
    </row>
    <row r="2705" spans="1:9" x14ac:dyDescent="0.3">
      <c r="A2705">
        <v>3408</v>
      </c>
      <c r="B2705" t="s">
        <v>273</v>
      </c>
      <c r="C2705" t="s">
        <v>249</v>
      </c>
      <c r="D2705" t="s">
        <v>67</v>
      </c>
      <c r="E2705" t="s">
        <v>1772</v>
      </c>
      <c r="F2705" s="13">
        <v>2</v>
      </c>
      <c r="G2705" s="14">
        <v>1523.94</v>
      </c>
      <c r="H2705" s="13">
        <v>122</v>
      </c>
      <c r="I2705" t="s">
        <v>76</v>
      </c>
    </row>
    <row r="2706" spans="1:9" x14ac:dyDescent="0.3">
      <c r="A2706">
        <v>3566</v>
      </c>
      <c r="B2706" t="s">
        <v>1778</v>
      </c>
      <c r="C2706" t="s">
        <v>133</v>
      </c>
      <c r="D2706" t="s">
        <v>64</v>
      </c>
      <c r="E2706" t="s">
        <v>1772</v>
      </c>
      <c r="F2706" s="13">
        <v>1</v>
      </c>
      <c r="G2706" s="14">
        <v>1141.8499999999999</v>
      </c>
      <c r="H2706" s="13">
        <v>122</v>
      </c>
      <c r="I2706" t="s">
        <v>76</v>
      </c>
    </row>
    <row r="2707" spans="1:9" x14ac:dyDescent="0.3">
      <c r="A2707">
        <v>3769</v>
      </c>
      <c r="B2707" t="s">
        <v>641</v>
      </c>
      <c r="C2707" t="s">
        <v>133</v>
      </c>
      <c r="D2707" t="s">
        <v>64</v>
      </c>
      <c r="E2707" t="s">
        <v>1772</v>
      </c>
      <c r="F2707" s="13">
        <v>5</v>
      </c>
      <c r="G2707" s="14">
        <v>4235.6000000000004</v>
      </c>
      <c r="H2707" s="13">
        <v>122</v>
      </c>
      <c r="I2707" t="s">
        <v>76</v>
      </c>
    </row>
    <row r="2708" spans="1:9" x14ac:dyDescent="0.3">
      <c r="A2708">
        <v>4201</v>
      </c>
      <c r="B2708" t="s">
        <v>113</v>
      </c>
      <c r="C2708" t="s">
        <v>92</v>
      </c>
      <c r="D2708" t="s">
        <v>64</v>
      </c>
      <c r="E2708" t="s">
        <v>1772</v>
      </c>
      <c r="F2708" s="13">
        <v>11</v>
      </c>
      <c r="G2708" s="14">
        <v>9608.82</v>
      </c>
      <c r="H2708" s="13">
        <v>122</v>
      </c>
      <c r="I2708" t="s">
        <v>76</v>
      </c>
    </row>
    <row r="2709" spans="1:9" x14ac:dyDescent="0.3">
      <c r="A2709">
        <v>6704</v>
      </c>
      <c r="B2709" t="s">
        <v>286</v>
      </c>
      <c r="C2709" t="s">
        <v>92</v>
      </c>
      <c r="D2709" t="s">
        <v>64</v>
      </c>
      <c r="E2709" t="s">
        <v>1772</v>
      </c>
      <c r="F2709" s="13">
        <v>1</v>
      </c>
      <c r="G2709" s="14">
        <v>3627.25</v>
      </c>
      <c r="H2709" s="13">
        <v>122</v>
      </c>
      <c r="I2709" t="s">
        <v>76</v>
      </c>
    </row>
    <row r="2710" spans="1:9" x14ac:dyDescent="0.3">
      <c r="A2710">
        <v>6735</v>
      </c>
      <c r="B2710" t="s">
        <v>438</v>
      </c>
      <c r="C2710" t="s">
        <v>123</v>
      </c>
      <c r="D2710" t="s">
        <v>65</v>
      </c>
      <c r="E2710" t="s">
        <v>1772</v>
      </c>
      <c r="F2710" s="13">
        <v>1</v>
      </c>
      <c r="G2710" s="14">
        <v>2990.8</v>
      </c>
      <c r="H2710" s="13">
        <v>122</v>
      </c>
      <c r="I2710" t="s">
        <v>76</v>
      </c>
    </row>
    <row r="2711" spans="1:9" x14ac:dyDescent="0.3">
      <c r="A2711">
        <v>6856</v>
      </c>
      <c r="B2711" t="s">
        <v>505</v>
      </c>
      <c r="C2711" t="s">
        <v>123</v>
      </c>
      <c r="D2711" t="s">
        <v>65</v>
      </c>
      <c r="E2711" t="s">
        <v>1772</v>
      </c>
      <c r="F2711" s="13">
        <v>7</v>
      </c>
      <c r="G2711" s="14">
        <v>17782.2</v>
      </c>
      <c r="H2711" s="13">
        <v>122</v>
      </c>
      <c r="I2711" t="s">
        <v>76</v>
      </c>
    </row>
    <row r="2712" spans="1:9" x14ac:dyDescent="0.3">
      <c r="A2712">
        <v>7180</v>
      </c>
      <c r="B2712" t="s">
        <v>182</v>
      </c>
      <c r="C2712" t="s">
        <v>100</v>
      </c>
      <c r="D2712" t="s">
        <v>66</v>
      </c>
      <c r="E2712" t="s">
        <v>1772</v>
      </c>
      <c r="F2712" s="13">
        <v>3</v>
      </c>
      <c r="G2712" s="14">
        <v>1616.46</v>
      </c>
      <c r="H2712" s="13">
        <v>122</v>
      </c>
      <c r="I2712" t="s">
        <v>76</v>
      </c>
    </row>
    <row r="2713" spans="1:9" x14ac:dyDescent="0.3">
      <c r="A2713">
        <v>7713</v>
      </c>
      <c r="B2713" t="s">
        <v>178</v>
      </c>
      <c r="C2713" t="s">
        <v>137</v>
      </c>
      <c r="D2713" t="s">
        <v>64</v>
      </c>
      <c r="E2713" t="s">
        <v>1772</v>
      </c>
      <c r="F2713" s="13">
        <v>2</v>
      </c>
      <c r="G2713" s="14">
        <v>2332.91</v>
      </c>
      <c r="H2713" s="13">
        <v>122</v>
      </c>
      <c r="I2713" t="s">
        <v>76</v>
      </c>
    </row>
    <row r="2714" spans="1:9" x14ac:dyDescent="0.3">
      <c r="A2714">
        <v>8048</v>
      </c>
      <c r="B2714" t="s">
        <v>348</v>
      </c>
      <c r="C2714" t="s">
        <v>90</v>
      </c>
      <c r="D2714" t="s">
        <v>66</v>
      </c>
      <c r="E2714" t="s">
        <v>1772</v>
      </c>
      <c r="F2714" s="13">
        <v>2</v>
      </c>
      <c r="G2714" s="14">
        <v>1450.34</v>
      </c>
      <c r="H2714" s="13">
        <v>122</v>
      </c>
      <c r="I2714" t="s">
        <v>76</v>
      </c>
    </row>
    <row r="2715" spans="1:9" x14ac:dyDescent="0.3">
      <c r="A2715">
        <v>8140</v>
      </c>
      <c r="B2715" t="s">
        <v>1779</v>
      </c>
      <c r="C2715" t="s">
        <v>123</v>
      </c>
      <c r="D2715" t="s">
        <v>65</v>
      </c>
      <c r="E2715" t="s">
        <v>1772</v>
      </c>
      <c r="F2715" s="13">
        <v>2</v>
      </c>
      <c r="G2715" s="14">
        <v>1140.1199999999999</v>
      </c>
      <c r="H2715" s="13">
        <v>122</v>
      </c>
      <c r="I2715" t="s">
        <v>76</v>
      </c>
    </row>
    <row r="2716" spans="1:9" x14ac:dyDescent="0.3">
      <c r="A2716">
        <v>8438</v>
      </c>
      <c r="B2716" t="s">
        <v>694</v>
      </c>
      <c r="C2716" t="s">
        <v>97</v>
      </c>
      <c r="D2716" t="s">
        <v>65</v>
      </c>
      <c r="E2716" t="s">
        <v>1772</v>
      </c>
      <c r="F2716" s="13">
        <v>2</v>
      </c>
      <c r="G2716" s="14">
        <v>4365.4399999999996</v>
      </c>
      <c r="H2716" s="13">
        <v>122</v>
      </c>
      <c r="I2716" t="s">
        <v>76</v>
      </c>
    </row>
    <row r="2717" spans="1:9" x14ac:dyDescent="0.3">
      <c r="A2717">
        <v>8819</v>
      </c>
      <c r="B2717" t="s">
        <v>438</v>
      </c>
      <c r="C2717" t="s">
        <v>90</v>
      </c>
      <c r="D2717" t="s">
        <v>66</v>
      </c>
      <c r="E2717" t="s">
        <v>1772</v>
      </c>
      <c r="F2717" s="13">
        <v>4</v>
      </c>
      <c r="G2717" s="14">
        <v>11778.48</v>
      </c>
      <c r="H2717" s="13">
        <v>122</v>
      </c>
      <c r="I2717" t="s">
        <v>76</v>
      </c>
    </row>
    <row r="2718" spans="1:9" x14ac:dyDescent="0.3">
      <c r="A2718">
        <v>63</v>
      </c>
      <c r="B2718" t="s">
        <v>1780</v>
      </c>
      <c r="C2718" t="s">
        <v>97</v>
      </c>
      <c r="D2718" t="s">
        <v>65</v>
      </c>
      <c r="E2718" t="s">
        <v>1781</v>
      </c>
      <c r="F2718" s="13">
        <v>2</v>
      </c>
      <c r="G2718" s="14">
        <v>2256.4299999999998</v>
      </c>
      <c r="H2718" s="13">
        <v>121</v>
      </c>
      <c r="I2718" t="s">
        <v>76</v>
      </c>
    </row>
    <row r="2719" spans="1:9" x14ac:dyDescent="0.3">
      <c r="A2719">
        <v>306</v>
      </c>
      <c r="B2719" t="s">
        <v>1078</v>
      </c>
      <c r="C2719" t="s">
        <v>90</v>
      </c>
      <c r="D2719" t="s">
        <v>66</v>
      </c>
      <c r="E2719" t="s">
        <v>1781</v>
      </c>
      <c r="F2719" s="13">
        <v>2</v>
      </c>
      <c r="G2719" s="14">
        <v>1472.45</v>
      </c>
      <c r="H2719" s="13">
        <v>121</v>
      </c>
      <c r="I2719" t="s">
        <v>76</v>
      </c>
    </row>
    <row r="2720" spans="1:9" x14ac:dyDescent="0.3">
      <c r="A2720">
        <v>329</v>
      </c>
      <c r="B2720" t="s">
        <v>366</v>
      </c>
      <c r="C2720" t="s">
        <v>133</v>
      </c>
      <c r="D2720" t="s">
        <v>64</v>
      </c>
      <c r="E2720" t="s">
        <v>1781</v>
      </c>
      <c r="F2720" s="13">
        <v>2</v>
      </c>
      <c r="G2720" s="14">
        <v>1956.63</v>
      </c>
      <c r="H2720" s="13">
        <v>121</v>
      </c>
      <c r="I2720" t="s">
        <v>76</v>
      </c>
    </row>
    <row r="2721" spans="1:9" x14ac:dyDescent="0.3">
      <c r="A2721">
        <v>1632</v>
      </c>
      <c r="B2721" t="s">
        <v>1782</v>
      </c>
      <c r="C2721" t="s">
        <v>92</v>
      </c>
      <c r="D2721" t="s">
        <v>64</v>
      </c>
      <c r="E2721" t="s">
        <v>1781</v>
      </c>
      <c r="F2721" s="13">
        <v>2</v>
      </c>
      <c r="G2721" s="14">
        <v>2274.16</v>
      </c>
      <c r="H2721" s="13">
        <v>121</v>
      </c>
      <c r="I2721" t="s">
        <v>76</v>
      </c>
    </row>
    <row r="2722" spans="1:9" x14ac:dyDescent="0.3">
      <c r="A2722">
        <v>1705</v>
      </c>
      <c r="B2722" t="s">
        <v>942</v>
      </c>
      <c r="C2722" t="s">
        <v>90</v>
      </c>
      <c r="D2722" t="s">
        <v>66</v>
      </c>
      <c r="E2722" t="s">
        <v>1781</v>
      </c>
      <c r="F2722" s="13">
        <v>5</v>
      </c>
      <c r="G2722" s="14">
        <v>23787.01</v>
      </c>
      <c r="H2722" s="13">
        <v>121</v>
      </c>
      <c r="I2722" t="s">
        <v>76</v>
      </c>
    </row>
    <row r="2723" spans="1:9" x14ac:dyDescent="0.3">
      <c r="A2723">
        <v>2549</v>
      </c>
      <c r="B2723" t="s">
        <v>366</v>
      </c>
      <c r="C2723" t="s">
        <v>92</v>
      </c>
      <c r="D2723" t="s">
        <v>64</v>
      </c>
      <c r="E2723" t="s">
        <v>1781</v>
      </c>
      <c r="F2723" s="13">
        <v>2</v>
      </c>
      <c r="G2723" s="14">
        <v>1851.42</v>
      </c>
      <c r="H2723" s="13">
        <v>121</v>
      </c>
      <c r="I2723" t="s">
        <v>76</v>
      </c>
    </row>
    <row r="2724" spans="1:9" x14ac:dyDescent="0.3">
      <c r="A2724">
        <v>2724</v>
      </c>
      <c r="B2724" t="s">
        <v>237</v>
      </c>
      <c r="C2724" t="s">
        <v>90</v>
      </c>
      <c r="D2724" t="s">
        <v>66</v>
      </c>
      <c r="E2724" t="s">
        <v>1781</v>
      </c>
      <c r="F2724" s="13">
        <v>4</v>
      </c>
      <c r="G2724" s="14">
        <v>10529.52</v>
      </c>
      <c r="H2724" s="13">
        <v>121</v>
      </c>
      <c r="I2724" t="s">
        <v>76</v>
      </c>
    </row>
    <row r="2725" spans="1:9" x14ac:dyDescent="0.3">
      <c r="A2725">
        <v>2973</v>
      </c>
      <c r="B2725" t="s">
        <v>1783</v>
      </c>
      <c r="C2725" t="s">
        <v>103</v>
      </c>
      <c r="D2725" t="s">
        <v>67</v>
      </c>
      <c r="E2725" t="s">
        <v>1781</v>
      </c>
      <c r="F2725" s="13">
        <v>1</v>
      </c>
      <c r="G2725" s="14">
        <v>120.36</v>
      </c>
      <c r="H2725" s="13">
        <v>121</v>
      </c>
      <c r="I2725" t="s">
        <v>76</v>
      </c>
    </row>
    <row r="2726" spans="1:9" x14ac:dyDescent="0.3">
      <c r="A2726">
        <v>3331</v>
      </c>
      <c r="B2726" t="s">
        <v>751</v>
      </c>
      <c r="C2726" t="s">
        <v>100</v>
      </c>
      <c r="D2726" t="s">
        <v>66</v>
      </c>
      <c r="E2726" t="s">
        <v>1781</v>
      </c>
      <c r="F2726" s="13">
        <v>2</v>
      </c>
      <c r="G2726" s="14">
        <v>3575.86</v>
      </c>
      <c r="H2726" s="13">
        <v>121</v>
      </c>
      <c r="I2726" t="s">
        <v>76</v>
      </c>
    </row>
    <row r="2727" spans="1:9" x14ac:dyDescent="0.3">
      <c r="A2727">
        <v>3541</v>
      </c>
      <c r="B2727" t="s">
        <v>1784</v>
      </c>
      <c r="C2727" t="s">
        <v>137</v>
      </c>
      <c r="D2727" t="s">
        <v>64</v>
      </c>
      <c r="E2727" t="s">
        <v>1781</v>
      </c>
      <c r="F2727" s="13">
        <v>2</v>
      </c>
      <c r="G2727" s="14">
        <v>4921.0600000000004</v>
      </c>
      <c r="H2727" s="13">
        <v>121</v>
      </c>
      <c r="I2727" t="s">
        <v>76</v>
      </c>
    </row>
    <row r="2728" spans="1:9" x14ac:dyDescent="0.3">
      <c r="A2728">
        <v>3932</v>
      </c>
      <c r="B2728" t="s">
        <v>1025</v>
      </c>
      <c r="C2728" t="s">
        <v>92</v>
      </c>
      <c r="D2728" t="s">
        <v>64</v>
      </c>
      <c r="E2728" t="s">
        <v>1781</v>
      </c>
      <c r="F2728" s="13">
        <v>1</v>
      </c>
      <c r="G2728" s="14">
        <v>1726.99</v>
      </c>
      <c r="H2728" s="13">
        <v>121</v>
      </c>
      <c r="I2728" t="s">
        <v>76</v>
      </c>
    </row>
    <row r="2729" spans="1:9" x14ac:dyDescent="0.3">
      <c r="A2729">
        <v>4251</v>
      </c>
      <c r="B2729" t="s">
        <v>116</v>
      </c>
      <c r="C2729" t="s">
        <v>90</v>
      </c>
      <c r="D2729" t="s">
        <v>66</v>
      </c>
      <c r="E2729" t="s">
        <v>1781</v>
      </c>
      <c r="F2729" s="13">
        <v>5</v>
      </c>
      <c r="G2729" s="14">
        <v>13658.73</v>
      </c>
      <c r="H2729" s="13">
        <v>121</v>
      </c>
      <c r="I2729" t="s">
        <v>76</v>
      </c>
    </row>
    <row r="2730" spans="1:9" x14ac:dyDescent="0.3">
      <c r="A2730">
        <v>5140</v>
      </c>
      <c r="B2730" t="s">
        <v>204</v>
      </c>
      <c r="C2730" t="s">
        <v>114</v>
      </c>
      <c r="D2730" t="s">
        <v>66</v>
      </c>
      <c r="E2730" t="s">
        <v>1781</v>
      </c>
      <c r="F2730" s="13">
        <v>2</v>
      </c>
      <c r="G2730" s="14">
        <v>4933.2299999999996</v>
      </c>
      <c r="H2730" s="13">
        <v>121</v>
      </c>
      <c r="I2730" t="s">
        <v>76</v>
      </c>
    </row>
    <row r="2731" spans="1:9" x14ac:dyDescent="0.3">
      <c r="A2731">
        <v>5756</v>
      </c>
      <c r="B2731" t="s">
        <v>277</v>
      </c>
      <c r="C2731" t="s">
        <v>103</v>
      </c>
      <c r="D2731" t="s">
        <v>67</v>
      </c>
      <c r="E2731" t="s">
        <v>1781</v>
      </c>
      <c r="F2731" s="13">
        <v>3</v>
      </c>
      <c r="G2731" s="14">
        <v>1786.78</v>
      </c>
      <c r="H2731" s="13">
        <v>121</v>
      </c>
      <c r="I2731" t="s">
        <v>76</v>
      </c>
    </row>
    <row r="2732" spans="1:9" x14ac:dyDescent="0.3">
      <c r="A2732">
        <v>6156</v>
      </c>
      <c r="B2732" t="s">
        <v>877</v>
      </c>
      <c r="C2732" t="s">
        <v>100</v>
      </c>
      <c r="D2732" t="s">
        <v>66</v>
      </c>
      <c r="E2732" t="s">
        <v>1781</v>
      </c>
      <c r="F2732" s="13">
        <v>3</v>
      </c>
      <c r="G2732" s="14">
        <v>6651.95</v>
      </c>
      <c r="H2732" s="13">
        <v>121</v>
      </c>
      <c r="I2732" t="s">
        <v>76</v>
      </c>
    </row>
    <row r="2733" spans="1:9" x14ac:dyDescent="0.3">
      <c r="A2733">
        <v>6270</v>
      </c>
      <c r="B2733" t="s">
        <v>1785</v>
      </c>
      <c r="C2733" t="s">
        <v>137</v>
      </c>
      <c r="D2733" t="s">
        <v>64</v>
      </c>
      <c r="E2733" t="s">
        <v>1781</v>
      </c>
      <c r="F2733" s="13">
        <v>4</v>
      </c>
      <c r="G2733" s="14">
        <v>11061.39</v>
      </c>
      <c r="H2733" s="13">
        <v>121</v>
      </c>
      <c r="I2733" t="s">
        <v>76</v>
      </c>
    </row>
    <row r="2734" spans="1:9" x14ac:dyDescent="0.3">
      <c r="A2734">
        <v>7484</v>
      </c>
      <c r="B2734" t="s">
        <v>1786</v>
      </c>
      <c r="C2734" t="s">
        <v>92</v>
      </c>
      <c r="D2734" t="s">
        <v>64</v>
      </c>
      <c r="E2734" t="s">
        <v>1781</v>
      </c>
      <c r="F2734" s="13">
        <v>4</v>
      </c>
      <c r="G2734" s="14">
        <v>8139</v>
      </c>
      <c r="H2734" s="13">
        <v>121</v>
      </c>
      <c r="I2734" t="s">
        <v>76</v>
      </c>
    </row>
    <row r="2735" spans="1:9" x14ac:dyDescent="0.3">
      <c r="A2735">
        <v>7793</v>
      </c>
      <c r="B2735" t="s">
        <v>655</v>
      </c>
      <c r="C2735" t="s">
        <v>137</v>
      </c>
      <c r="D2735" t="s">
        <v>64</v>
      </c>
      <c r="E2735" t="s">
        <v>1781</v>
      </c>
      <c r="F2735" s="13">
        <v>2</v>
      </c>
      <c r="G2735" s="14">
        <v>4115.93</v>
      </c>
      <c r="H2735" s="13">
        <v>121</v>
      </c>
      <c r="I2735" t="s">
        <v>76</v>
      </c>
    </row>
    <row r="2736" spans="1:9" x14ac:dyDescent="0.3">
      <c r="A2736">
        <v>8167</v>
      </c>
      <c r="B2736" t="s">
        <v>99</v>
      </c>
      <c r="C2736" t="s">
        <v>249</v>
      </c>
      <c r="D2736" t="s">
        <v>67</v>
      </c>
      <c r="E2736" t="s">
        <v>1781</v>
      </c>
      <c r="F2736" s="13">
        <v>3</v>
      </c>
      <c r="G2736" s="14">
        <v>10772.33</v>
      </c>
      <c r="H2736" s="13">
        <v>121</v>
      </c>
      <c r="I2736" t="s">
        <v>76</v>
      </c>
    </row>
    <row r="2737" spans="1:9" x14ac:dyDescent="0.3">
      <c r="A2737">
        <v>8729</v>
      </c>
      <c r="B2737" t="s">
        <v>199</v>
      </c>
      <c r="C2737" t="s">
        <v>90</v>
      </c>
      <c r="D2737" t="s">
        <v>66</v>
      </c>
      <c r="E2737" t="s">
        <v>1781</v>
      </c>
      <c r="F2737" s="13">
        <v>3</v>
      </c>
      <c r="G2737" s="14">
        <v>9862.19</v>
      </c>
      <c r="H2737" s="13">
        <v>121</v>
      </c>
      <c r="I2737" t="s">
        <v>76</v>
      </c>
    </row>
    <row r="2738" spans="1:9" x14ac:dyDescent="0.3">
      <c r="A2738">
        <v>8778</v>
      </c>
      <c r="B2738" t="s">
        <v>1787</v>
      </c>
      <c r="C2738" t="s">
        <v>103</v>
      </c>
      <c r="D2738" t="s">
        <v>67</v>
      </c>
      <c r="E2738" t="s">
        <v>1781</v>
      </c>
      <c r="F2738" s="13">
        <v>1</v>
      </c>
      <c r="G2738" s="14">
        <v>111.96</v>
      </c>
      <c r="H2738" s="13">
        <v>121</v>
      </c>
      <c r="I2738" t="s">
        <v>76</v>
      </c>
    </row>
    <row r="2739" spans="1:9" x14ac:dyDescent="0.3">
      <c r="A2739">
        <v>8817</v>
      </c>
      <c r="B2739" t="s">
        <v>805</v>
      </c>
      <c r="C2739" t="s">
        <v>92</v>
      </c>
      <c r="D2739" t="s">
        <v>64</v>
      </c>
      <c r="E2739" t="s">
        <v>1781</v>
      </c>
      <c r="F2739" s="13">
        <v>3</v>
      </c>
      <c r="G2739" s="14">
        <v>3615.55</v>
      </c>
      <c r="H2739" s="13">
        <v>121</v>
      </c>
      <c r="I2739" t="s">
        <v>76</v>
      </c>
    </row>
    <row r="2740" spans="1:9" x14ac:dyDescent="0.3">
      <c r="A2740">
        <v>522</v>
      </c>
      <c r="B2740" t="s">
        <v>1788</v>
      </c>
      <c r="C2740" t="s">
        <v>137</v>
      </c>
      <c r="D2740" t="s">
        <v>64</v>
      </c>
      <c r="E2740" t="s">
        <v>1789</v>
      </c>
      <c r="F2740" s="13">
        <v>5</v>
      </c>
      <c r="G2740" s="14">
        <v>3608.94</v>
      </c>
      <c r="H2740" s="13">
        <v>120</v>
      </c>
      <c r="I2740" t="s">
        <v>76</v>
      </c>
    </row>
    <row r="2741" spans="1:9" x14ac:dyDescent="0.3">
      <c r="A2741">
        <v>673</v>
      </c>
      <c r="B2741" t="s">
        <v>1790</v>
      </c>
      <c r="C2741" t="s">
        <v>92</v>
      </c>
      <c r="D2741" t="s">
        <v>64</v>
      </c>
      <c r="E2741" t="s">
        <v>1789</v>
      </c>
      <c r="F2741" s="13">
        <v>2</v>
      </c>
      <c r="G2741" s="14">
        <v>5572.6</v>
      </c>
      <c r="H2741" s="13">
        <v>120</v>
      </c>
      <c r="I2741" t="s">
        <v>76</v>
      </c>
    </row>
    <row r="2742" spans="1:9" x14ac:dyDescent="0.3">
      <c r="A2742">
        <v>969</v>
      </c>
      <c r="B2742" t="s">
        <v>149</v>
      </c>
      <c r="C2742" t="s">
        <v>97</v>
      </c>
      <c r="D2742" t="s">
        <v>65</v>
      </c>
      <c r="E2742" t="s">
        <v>1789</v>
      </c>
      <c r="F2742" s="13">
        <v>2</v>
      </c>
      <c r="G2742" s="14">
        <v>2222.44</v>
      </c>
      <c r="H2742" s="13">
        <v>120</v>
      </c>
      <c r="I2742" t="s">
        <v>76</v>
      </c>
    </row>
    <row r="2743" spans="1:9" x14ac:dyDescent="0.3">
      <c r="A2743">
        <v>1024</v>
      </c>
      <c r="B2743" t="s">
        <v>710</v>
      </c>
      <c r="C2743" t="s">
        <v>95</v>
      </c>
      <c r="D2743" t="s">
        <v>65</v>
      </c>
      <c r="E2743" t="s">
        <v>1789</v>
      </c>
      <c r="F2743" s="13">
        <v>3</v>
      </c>
      <c r="G2743" s="14">
        <v>955.17</v>
      </c>
      <c r="H2743" s="13">
        <v>120</v>
      </c>
      <c r="I2743" t="s">
        <v>76</v>
      </c>
    </row>
    <row r="2744" spans="1:9" x14ac:dyDescent="0.3">
      <c r="A2744">
        <v>1050</v>
      </c>
      <c r="B2744" t="s">
        <v>1791</v>
      </c>
      <c r="C2744" t="s">
        <v>92</v>
      </c>
      <c r="D2744" t="s">
        <v>64</v>
      </c>
      <c r="E2744" t="s">
        <v>1789</v>
      </c>
      <c r="F2744" s="13">
        <v>6</v>
      </c>
      <c r="G2744" s="14">
        <v>14582.63</v>
      </c>
      <c r="H2744" s="13">
        <v>120</v>
      </c>
      <c r="I2744" t="s">
        <v>76</v>
      </c>
    </row>
    <row r="2745" spans="1:9" x14ac:dyDescent="0.3">
      <c r="A2745">
        <v>1156</v>
      </c>
      <c r="B2745" t="s">
        <v>321</v>
      </c>
      <c r="C2745" t="s">
        <v>92</v>
      </c>
      <c r="D2745" t="s">
        <v>64</v>
      </c>
      <c r="E2745" t="s">
        <v>1789</v>
      </c>
      <c r="F2745" s="13">
        <v>2</v>
      </c>
      <c r="G2745" s="14">
        <v>5422.81</v>
      </c>
      <c r="H2745" s="13">
        <v>120</v>
      </c>
      <c r="I2745" t="s">
        <v>76</v>
      </c>
    </row>
    <row r="2746" spans="1:9" x14ac:dyDescent="0.3">
      <c r="A2746">
        <v>1210</v>
      </c>
      <c r="B2746" t="s">
        <v>277</v>
      </c>
      <c r="C2746" t="s">
        <v>137</v>
      </c>
      <c r="D2746" t="s">
        <v>64</v>
      </c>
      <c r="E2746" t="s">
        <v>1789</v>
      </c>
      <c r="F2746" s="13">
        <v>3</v>
      </c>
      <c r="G2746" s="14">
        <v>2565.8000000000002</v>
      </c>
      <c r="H2746" s="13">
        <v>120</v>
      </c>
      <c r="I2746" t="s">
        <v>76</v>
      </c>
    </row>
    <row r="2747" spans="1:9" x14ac:dyDescent="0.3">
      <c r="A2747">
        <v>1994</v>
      </c>
      <c r="B2747" t="s">
        <v>1792</v>
      </c>
      <c r="C2747" t="s">
        <v>92</v>
      </c>
      <c r="D2747" t="s">
        <v>64</v>
      </c>
      <c r="E2747" t="s">
        <v>1789</v>
      </c>
      <c r="F2747" s="13">
        <v>3</v>
      </c>
      <c r="G2747" s="14">
        <v>1244.3</v>
      </c>
      <c r="H2747" s="13">
        <v>120</v>
      </c>
      <c r="I2747" t="s">
        <v>76</v>
      </c>
    </row>
    <row r="2748" spans="1:9" x14ac:dyDescent="0.3">
      <c r="A2748">
        <v>2047</v>
      </c>
      <c r="B2748" t="s">
        <v>1679</v>
      </c>
      <c r="C2748" t="s">
        <v>97</v>
      </c>
      <c r="D2748" t="s">
        <v>65</v>
      </c>
      <c r="E2748" t="s">
        <v>1789</v>
      </c>
      <c r="F2748" s="13">
        <v>3</v>
      </c>
      <c r="G2748" s="14">
        <v>1434.81</v>
      </c>
      <c r="H2748" s="13">
        <v>120</v>
      </c>
      <c r="I2748" t="s">
        <v>76</v>
      </c>
    </row>
    <row r="2749" spans="1:9" x14ac:dyDescent="0.3">
      <c r="A2749">
        <v>2232</v>
      </c>
      <c r="B2749" t="s">
        <v>812</v>
      </c>
      <c r="C2749" t="s">
        <v>123</v>
      </c>
      <c r="D2749" t="s">
        <v>65</v>
      </c>
      <c r="E2749" t="s">
        <v>1789</v>
      </c>
      <c r="F2749" s="13">
        <v>6</v>
      </c>
      <c r="G2749" s="14">
        <v>18213.169999999998</v>
      </c>
      <c r="H2749" s="13">
        <v>120</v>
      </c>
      <c r="I2749" t="s">
        <v>76</v>
      </c>
    </row>
    <row r="2750" spans="1:9" x14ac:dyDescent="0.3">
      <c r="A2750">
        <v>2625</v>
      </c>
      <c r="B2750" t="s">
        <v>376</v>
      </c>
      <c r="C2750" t="s">
        <v>114</v>
      </c>
      <c r="D2750" t="s">
        <v>66</v>
      </c>
      <c r="E2750" t="s">
        <v>1789</v>
      </c>
      <c r="F2750" s="13">
        <v>2</v>
      </c>
      <c r="G2750" s="14">
        <v>852.4</v>
      </c>
      <c r="H2750" s="13">
        <v>120</v>
      </c>
      <c r="I2750" t="s">
        <v>76</v>
      </c>
    </row>
    <row r="2751" spans="1:9" x14ac:dyDescent="0.3">
      <c r="A2751">
        <v>2875</v>
      </c>
      <c r="B2751" t="s">
        <v>253</v>
      </c>
      <c r="C2751" t="s">
        <v>249</v>
      </c>
      <c r="D2751" t="s">
        <v>67</v>
      </c>
      <c r="E2751" t="s">
        <v>1789</v>
      </c>
      <c r="F2751" s="13">
        <v>1</v>
      </c>
      <c r="G2751" s="14">
        <v>2094.7800000000002</v>
      </c>
      <c r="H2751" s="13">
        <v>120</v>
      </c>
      <c r="I2751" t="s">
        <v>76</v>
      </c>
    </row>
    <row r="2752" spans="1:9" x14ac:dyDescent="0.3">
      <c r="A2752">
        <v>3147</v>
      </c>
      <c r="B2752" t="s">
        <v>302</v>
      </c>
      <c r="C2752" t="s">
        <v>92</v>
      </c>
      <c r="D2752" t="s">
        <v>64</v>
      </c>
      <c r="E2752" t="s">
        <v>1789</v>
      </c>
      <c r="F2752" s="13">
        <v>1</v>
      </c>
      <c r="G2752" s="14">
        <v>1229.26</v>
      </c>
      <c r="H2752" s="13">
        <v>120</v>
      </c>
      <c r="I2752" t="s">
        <v>76</v>
      </c>
    </row>
    <row r="2753" spans="1:9" x14ac:dyDescent="0.3">
      <c r="A2753">
        <v>3182</v>
      </c>
      <c r="B2753" t="s">
        <v>1793</v>
      </c>
      <c r="C2753" t="s">
        <v>123</v>
      </c>
      <c r="D2753" t="s">
        <v>65</v>
      </c>
      <c r="E2753" t="s">
        <v>1789</v>
      </c>
      <c r="F2753" s="13">
        <v>2</v>
      </c>
      <c r="G2753" s="14">
        <v>4058.75</v>
      </c>
      <c r="H2753" s="13">
        <v>120</v>
      </c>
      <c r="I2753" t="s">
        <v>76</v>
      </c>
    </row>
    <row r="2754" spans="1:9" x14ac:dyDescent="0.3">
      <c r="A2754">
        <v>3313</v>
      </c>
      <c r="B2754" t="s">
        <v>252</v>
      </c>
      <c r="C2754" t="s">
        <v>123</v>
      </c>
      <c r="D2754" t="s">
        <v>65</v>
      </c>
      <c r="E2754" t="s">
        <v>1789</v>
      </c>
      <c r="F2754" s="13">
        <v>3</v>
      </c>
      <c r="G2754" s="14">
        <v>6063.56</v>
      </c>
      <c r="H2754" s="13">
        <v>120</v>
      </c>
      <c r="I2754" t="s">
        <v>76</v>
      </c>
    </row>
    <row r="2755" spans="1:9" x14ac:dyDescent="0.3">
      <c r="A2755">
        <v>3928</v>
      </c>
      <c r="B2755" t="s">
        <v>237</v>
      </c>
      <c r="C2755" t="s">
        <v>92</v>
      </c>
      <c r="D2755" t="s">
        <v>64</v>
      </c>
      <c r="E2755" t="s">
        <v>1789</v>
      </c>
      <c r="F2755" s="13">
        <v>4</v>
      </c>
      <c r="G2755" s="14">
        <v>9968.84</v>
      </c>
      <c r="H2755" s="13">
        <v>120</v>
      </c>
      <c r="I2755" t="s">
        <v>76</v>
      </c>
    </row>
    <row r="2756" spans="1:9" x14ac:dyDescent="0.3">
      <c r="A2756">
        <v>4475</v>
      </c>
      <c r="B2756" t="s">
        <v>120</v>
      </c>
      <c r="C2756" t="s">
        <v>92</v>
      </c>
      <c r="D2756" t="s">
        <v>64</v>
      </c>
      <c r="E2756" t="s">
        <v>1789</v>
      </c>
      <c r="F2756" s="13">
        <v>1</v>
      </c>
      <c r="G2756" s="14">
        <v>1190.25</v>
      </c>
      <c r="H2756" s="13">
        <v>120</v>
      </c>
      <c r="I2756" t="s">
        <v>76</v>
      </c>
    </row>
    <row r="2757" spans="1:9" x14ac:dyDescent="0.3">
      <c r="A2757">
        <v>4647</v>
      </c>
      <c r="B2757" t="s">
        <v>237</v>
      </c>
      <c r="C2757" t="s">
        <v>92</v>
      </c>
      <c r="D2757" t="s">
        <v>64</v>
      </c>
      <c r="E2757" t="s">
        <v>1789</v>
      </c>
      <c r="F2757" s="13">
        <v>3</v>
      </c>
      <c r="G2757" s="14">
        <v>2127.06</v>
      </c>
      <c r="H2757" s="13">
        <v>120</v>
      </c>
      <c r="I2757" t="s">
        <v>76</v>
      </c>
    </row>
    <row r="2758" spans="1:9" x14ac:dyDescent="0.3">
      <c r="A2758">
        <v>5658</v>
      </c>
      <c r="B2758" t="s">
        <v>1794</v>
      </c>
      <c r="C2758" t="s">
        <v>92</v>
      </c>
      <c r="D2758" t="s">
        <v>64</v>
      </c>
      <c r="E2758" t="s">
        <v>1789</v>
      </c>
      <c r="F2758" s="13">
        <v>1</v>
      </c>
      <c r="G2758" s="14">
        <v>1264.29</v>
      </c>
      <c r="H2758" s="13">
        <v>120</v>
      </c>
      <c r="I2758" t="s">
        <v>76</v>
      </c>
    </row>
    <row r="2759" spans="1:9" x14ac:dyDescent="0.3">
      <c r="A2759">
        <v>6275</v>
      </c>
      <c r="B2759" t="s">
        <v>662</v>
      </c>
      <c r="C2759" t="s">
        <v>92</v>
      </c>
      <c r="D2759" t="s">
        <v>64</v>
      </c>
      <c r="E2759" t="s">
        <v>1789</v>
      </c>
      <c r="F2759" s="13">
        <v>2</v>
      </c>
      <c r="G2759" s="14">
        <v>1533.13</v>
      </c>
      <c r="H2759" s="13">
        <v>120</v>
      </c>
      <c r="I2759" t="s">
        <v>76</v>
      </c>
    </row>
    <row r="2760" spans="1:9" x14ac:dyDescent="0.3">
      <c r="A2760">
        <v>6772</v>
      </c>
      <c r="B2760" t="s">
        <v>167</v>
      </c>
      <c r="C2760" t="s">
        <v>137</v>
      </c>
      <c r="D2760" t="s">
        <v>64</v>
      </c>
      <c r="E2760" t="s">
        <v>1789</v>
      </c>
      <c r="F2760" s="13">
        <v>11</v>
      </c>
      <c r="G2760" s="14">
        <v>15963.52</v>
      </c>
      <c r="H2760" s="13">
        <v>120</v>
      </c>
      <c r="I2760" t="s">
        <v>76</v>
      </c>
    </row>
    <row r="2761" spans="1:9" x14ac:dyDescent="0.3">
      <c r="A2761">
        <v>7000</v>
      </c>
      <c r="B2761" t="s">
        <v>1795</v>
      </c>
      <c r="C2761" t="s">
        <v>133</v>
      </c>
      <c r="D2761" t="s">
        <v>64</v>
      </c>
      <c r="E2761" t="s">
        <v>1789</v>
      </c>
      <c r="F2761" s="13">
        <v>10</v>
      </c>
      <c r="G2761" s="14">
        <v>19774.61</v>
      </c>
      <c r="H2761" s="13">
        <v>120</v>
      </c>
      <c r="I2761" t="s">
        <v>76</v>
      </c>
    </row>
    <row r="2762" spans="1:9" x14ac:dyDescent="0.3">
      <c r="A2762">
        <v>7108</v>
      </c>
      <c r="B2762" t="s">
        <v>1796</v>
      </c>
      <c r="C2762" t="s">
        <v>133</v>
      </c>
      <c r="D2762" t="s">
        <v>64</v>
      </c>
      <c r="E2762" t="s">
        <v>1789</v>
      </c>
      <c r="F2762" s="13">
        <v>6</v>
      </c>
      <c r="G2762" s="14">
        <v>18168.099999999999</v>
      </c>
      <c r="H2762" s="13">
        <v>120</v>
      </c>
      <c r="I2762" t="s">
        <v>76</v>
      </c>
    </row>
    <row r="2763" spans="1:9" x14ac:dyDescent="0.3">
      <c r="A2763">
        <v>8237</v>
      </c>
      <c r="B2763" t="s">
        <v>253</v>
      </c>
      <c r="C2763" t="s">
        <v>92</v>
      </c>
      <c r="D2763" t="s">
        <v>64</v>
      </c>
      <c r="E2763" t="s">
        <v>1789</v>
      </c>
      <c r="F2763" s="13">
        <v>2</v>
      </c>
      <c r="G2763" s="14">
        <v>3060.82</v>
      </c>
      <c r="H2763" s="13">
        <v>120</v>
      </c>
      <c r="I2763" t="s">
        <v>76</v>
      </c>
    </row>
    <row r="2764" spans="1:9" x14ac:dyDescent="0.3">
      <c r="A2764">
        <v>8887</v>
      </c>
      <c r="B2764" t="s">
        <v>1797</v>
      </c>
      <c r="C2764" t="s">
        <v>249</v>
      </c>
      <c r="D2764" t="s">
        <v>67</v>
      </c>
      <c r="E2764" t="s">
        <v>1789</v>
      </c>
      <c r="F2764" s="13">
        <v>1</v>
      </c>
      <c r="G2764" s="14">
        <v>599.57000000000005</v>
      </c>
      <c r="H2764" s="13">
        <v>120</v>
      </c>
      <c r="I2764" t="s">
        <v>76</v>
      </c>
    </row>
    <row r="2765" spans="1:9" x14ac:dyDescent="0.3">
      <c r="A2765">
        <v>770</v>
      </c>
      <c r="B2765" t="s">
        <v>1798</v>
      </c>
      <c r="C2765" t="s">
        <v>92</v>
      </c>
      <c r="D2765" t="s">
        <v>64</v>
      </c>
      <c r="E2765" t="s">
        <v>1799</v>
      </c>
      <c r="F2765" s="13">
        <v>6</v>
      </c>
      <c r="G2765" s="14">
        <v>8937.57</v>
      </c>
      <c r="H2765" s="13">
        <v>119</v>
      </c>
      <c r="I2765" t="s">
        <v>76</v>
      </c>
    </row>
    <row r="2766" spans="1:9" x14ac:dyDescent="0.3">
      <c r="A2766">
        <v>2608</v>
      </c>
      <c r="B2766" t="s">
        <v>540</v>
      </c>
      <c r="C2766" t="s">
        <v>92</v>
      </c>
      <c r="D2766" t="s">
        <v>64</v>
      </c>
      <c r="E2766" t="s">
        <v>1799</v>
      </c>
      <c r="F2766" s="13">
        <v>3</v>
      </c>
      <c r="G2766" s="14">
        <v>8312.27</v>
      </c>
      <c r="H2766" s="13">
        <v>119</v>
      </c>
      <c r="I2766" t="s">
        <v>76</v>
      </c>
    </row>
    <row r="2767" spans="1:9" x14ac:dyDescent="0.3">
      <c r="A2767">
        <v>3142</v>
      </c>
      <c r="B2767" t="s">
        <v>1800</v>
      </c>
      <c r="C2767" t="s">
        <v>92</v>
      </c>
      <c r="D2767" t="s">
        <v>64</v>
      </c>
      <c r="E2767" t="s">
        <v>1799</v>
      </c>
      <c r="F2767" s="13">
        <v>1</v>
      </c>
      <c r="G2767" s="14">
        <v>279.39</v>
      </c>
      <c r="H2767" s="13">
        <v>119</v>
      </c>
      <c r="I2767" t="s">
        <v>76</v>
      </c>
    </row>
    <row r="2768" spans="1:9" x14ac:dyDescent="0.3">
      <c r="A2768">
        <v>3357</v>
      </c>
      <c r="B2768" t="s">
        <v>1801</v>
      </c>
      <c r="C2768" t="s">
        <v>92</v>
      </c>
      <c r="D2768" t="s">
        <v>64</v>
      </c>
      <c r="E2768" t="s">
        <v>1799</v>
      </c>
      <c r="F2768" s="13">
        <v>1</v>
      </c>
      <c r="G2768" s="14">
        <v>869.69</v>
      </c>
      <c r="H2768" s="13">
        <v>119</v>
      </c>
      <c r="I2768" t="s">
        <v>76</v>
      </c>
    </row>
    <row r="2769" spans="1:9" x14ac:dyDescent="0.3">
      <c r="A2769">
        <v>3569</v>
      </c>
      <c r="B2769" t="s">
        <v>1802</v>
      </c>
      <c r="C2769" t="s">
        <v>137</v>
      </c>
      <c r="D2769" t="s">
        <v>64</v>
      </c>
      <c r="E2769" t="s">
        <v>1799</v>
      </c>
      <c r="F2769" s="13">
        <v>1</v>
      </c>
      <c r="G2769" s="14">
        <v>59.15</v>
      </c>
      <c r="H2769" s="13">
        <v>119</v>
      </c>
      <c r="I2769" t="s">
        <v>76</v>
      </c>
    </row>
    <row r="2770" spans="1:9" x14ac:dyDescent="0.3">
      <c r="A2770">
        <v>3997</v>
      </c>
      <c r="B2770" t="s">
        <v>400</v>
      </c>
      <c r="C2770" t="s">
        <v>137</v>
      </c>
      <c r="D2770" t="s">
        <v>64</v>
      </c>
      <c r="E2770" t="s">
        <v>1799</v>
      </c>
      <c r="F2770" s="13">
        <v>2</v>
      </c>
      <c r="G2770" s="14">
        <v>2894.6</v>
      </c>
      <c r="H2770" s="13">
        <v>119</v>
      </c>
      <c r="I2770" t="s">
        <v>76</v>
      </c>
    </row>
    <row r="2771" spans="1:9" x14ac:dyDescent="0.3">
      <c r="A2771">
        <v>6191</v>
      </c>
      <c r="B2771" t="s">
        <v>271</v>
      </c>
      <c r="C2771" t="s">
        <v>92</v>
      </c>
      <c r="D2771" t="s">
        <v>64</v>
      </c>
      <c r="E2771" t="s">
        <v>1799</v>
      </c>
      <c r="F2771" s="13">
        <v>2</v>
      </c>
      <c r="G2771" s="14">
        <v>4838.45</v>
      </c>
      <c r="H2771" s="13">
        <v>119</v>
      </c>
      <c r="I2771" t="s">
        <v>76</v>
      </c>
    </row>
    <row r="2772" spans="1:9" x14ac:dyDescent="0.3">
      <c r="A2772">
        <v>6676</v>
      </c>
      <c r="B2772" t="s">
        <v>460</v>
      </c>
      <c r="C2772" t="s">
        <v>249</v>
      </c>
      <c r="D2772" t="s">
        <v>67</v>
      </c>
      <c r="E2772" t="s">
        <v>1799</v>
      </c>
      <c r="F2772" s="13">
        <v>1</v>
      </c>
      <c r="G2772" s="14">
        <v>3256.95</v>
      </c>
      <c r="H2772" s="13">
        <v>119</v>
      </c>
      <c r="I2772" t="s">
        <v>76</v>
      </c>
    </row>
    <row r="2773" spans="1:9" x14ac:dyDescent="0.3">
      <c r="A2773">
        <v>6977</v>
      </c>
      <c r="B2773" t="s">
        <v>534</v>
      </c>
      <c r="C2773" t="s">
        <v>92</v>
      </c>
      <c r="D2773" t="s">
        <v>64</v>
      </c>
      <c r="E2773" t="s">
        <v>1799</v>
      </c>
      <c r="F2773" s="13">
        <v>5</v>
      </c>
      <c r="G2773" s="14">
        <v>16421.77</v>
      </c>
      <c r="H2773" s="13">
        <v>119</v>
      </c>
      <c r="I2773" t="s">
        <v>76</v>
      </c>
    </row>
    <row r="2774" spans="1:9" x14ac:dyDescent="0.3">
      <c r="A2774">
        <v>7420</v>
      </c>
      <c r="B2774" t="s">
        <v>201</v>
      </c>
      <c r="C2774" t="s">
        <v>92</v>
      </c>
      <c r="D2774" t="s">
        <v>64</v>
      </c>
      <c r="E2774" t="s">
        <v>1799</v>
      </c>
      <c r="F2774" s="13">
        <v>1</v>
      </c>
      <c r="G2774" s="14">
        <v>7610.64</v>
      </c>
      <c r="H2774" s="13">
        <v>119</v>
      </c>
      <c r="I2774" t="s">
        <v>76</v>
      </c>
    </row>
    <row r="2775" spans="1:9" x14ac:dyDescent="0.3">
      <c r="A2775">
        <v>8777</v>
      </c>
      <c r="B2775" t="s">
        <v>1085</v>
      </c>
      <c r="C2775" t="s">
        <v>95</v>
      </c>
      <c r="D2775" t="s">
        <v>65</v>
      </c>
      <c r="E2775" t="s">
        <v>1799</v>
      </c>
      <c r="F2775" s="13">
        <v>4</v>
      </c>
      <c r="G2775" s="14">
        <v>4438.03</v>
      </c>
      <c r="H2775" s="13">
        <v>119</v>
      </c>
      <c r="I2775" t="s">
        <v>76</v>
      </c>
    </row>
    <row r="2776" spans="1:9" x14ac:dyDescent="0.3">
      <c r="A2776">
        <v>1153</v>
      </c>
      <c r="B2776" t="s">
        <v>113</v>
      </c>
      <c r="C2776" t="s">
        <v>92</v>
      </c>
      <c r="D2776" t="s">
        <v>64</v>
      </c>
      <c r="E2776" t="s">
        <v>1803</v>
      </c>
      <c r="F2776" s="13">
        <v>1</v>
      </c>
      <c r="G2776" s="14">
        <v>1353.8</v>
      </c>
      <c r="H2776" s="13">
        <v>118</v>
      </c>
      <c r="I2776" t="s">
        <v>76</v>
      </c>
    </row>
    <row r="2777" spans="1:9" x14ac:dyDescent="0.3">
      <c r="A2777">
        <v>1286</v>
      </c>
      <c r="B2777" t="s">
        <v>1804</v>
      </c>
      <c r="C2777" t="s">
        <v>92</v>
      </c>
      <c r="D2777" t="s">
        <v>64</v>
      </c>
      <c r="E2777" t="s">
        <v>1803</v>
      </c>
      <c r="F2777" s="13">
        <v>2</v>
      </c>
      <c r="G2777" s="14">
        <v>2195.0100000000002</v>
      </c>
      <c r="H2777" s="13">
        <v>118</v>
      </c>
      <c r="I2777" t="s">
        <v>76</v>
      </c>
    </row>
    <row r="2778" spans="1:9" x14ac:dyDescent="0.3">
      <c r="A2778">
        <v>1595</v>
      </c>
      <c r="B2778" t="s">
        <v>1805</v>
      </c>
      <c r="C2778" t="s">
        <v>137</v>
      </c>
      <c r="D2778" t="s">
        <v>64</v>
      </c>
      <c r="E2778" t="s">
        <v>1803</v>
      </c>
      <c r="F2778" s="13">
        <v>1</v>
      </c>
      <c r="G2778" s="14">
        <v>445.18</v>
      </c>
      <c r="H2778" s="13">
        <v>118</v>
      </c>
      <c r="I2778" t="s">
        <v>76</v>
      </c>
    </row>
    <row r="2779" spans="1:9" x14ac:dyDescent="0.3">
      <c r="A2779">
        <v>1642</v>
      </c>
      <c r="B2779" t="s">
        <v>1806</v>
      </c>
      <c r="C2779" t="s">
        <v>123</v>
      </c>
      <c r="D2779" t="s">
        <v>65</v>
      </c>
      <c r="E2779" t="s">
        <v>1803</v>
      </c>
      <c r="F2779" s="13">
        <v>4</v>
      </c>
      <c r="G2779" s="14">
        <v>4289.5</v>
      </c>
      <c r="H2779" s="13">
        <v>118</v>
      </c>
      <c r="I2779" t="s">
        <v>76</v>
      </c>
    </row>
    <row r="2780" spans="1:9" x14ac:dyDescent="0.3">
      <c r="A2780">
        <v>2619</v>
      </c>
      <c r="B2780" t="s">
        <v>120</v>
      </c>
      <c r="C2780" t="s">
        <v>92</v>
      </c>
      <c r="D2780" t="s">
        <v>64</v>
      </c>
      <c r="E2780" t="s">
        <v>1803</v>
      </c>
      <c r="F2780" s="13">
        <v>12</v>
      </c>
      <c r="G2780" s="14">
        <v>33855.43</v>
      </c>
      <c r="H2780" s="13">
        <v>118</v>
      </c>
      <c r="I2780" t="s">
        <v>76</v>
      </c>
    </row>
    <row r="2781" spans="1:9" x14ac:dyDescent="0.3">
      <c r="A2781">
        <v>2871</v>
      </c>
      <c r="B2781" t="s">
        <v>163</v>
      </c>
      <c r="C2781" t="s">
        <v>95</v>
      </c>
      <c r="D2781" t="s">
        <v>65</v>
      </c>
      <c r="E2781" t="s">
        <v>1803</v>
      </c>
      <c r="F2781" s="13">
        <v>1</v>
      </c>
      <c r="G2781" s="14">
        <v>3573.61</v>
      </c>
      <c r="H2781" s="13">
        <v>118</v>
      </c>
      <c r="I2781" t="s">
        <v>76</v>
      </c>
    </row>
    <row r="2782" spans="1:9" x14ac:dyDescent="0.3">
      <c r="A2782">
        <v>3499</v>
      </c>
      <c r="B2782" t="s">
        <v>1595</v>
      </c>
      <c r="C2782" t="s">
        <v>95</v>
      </c>
      <c r="D2782" t="s">
        <v>65</v>
      </c>
      <c r="E2782" t="s">
        <v>1803</v>
      </c>
      <c r="F2782" s="13">
        <v>1</v>
      </c>
      <c r="G2782" s="14">
        <v>3947.05</v>
      </c>
      <c r="H2782" s="13">
        <v>118</v>
      </c>
      <c r="I2782" t="s">
        <v>76</v>
      </c>
    </row>
    <row r="2783" spans="1:9" x14ac:dyDescent="0.3">
      <c r="A2783">
        <v>5286</v>
      </c>
      <c r="B2783" t="s">
        <v>400</v>
      </c>
      <c r="C2783" t="s">
        <v>123</v>
      </c>
      <c r="D2783" t="s">
        <v>65</v>
      </c>
      <c r="E2783" t="s">
        <v>1803</v>
      </c>
      <c r="F2783" s="13">
        <v>1</v>
      </c>
      <c r="G2783" s="14">
        <v>4564.46</v>
      </c>
      <c r="H2783" s="13">
        <v>118</v>
      </c>
      <c r="I2783" t="s">
        <v>76</v>
      </c>
    </row>
    <row r="2784" spans="1:9" x14ac:dyDescent="0.3">
      <c r="A2784">
        <v>5777</v>
      </c>
      <c r="B2784" t="s">
        <v>1807</v>
      </c>
      <c r="C2784" t="s">
        <v>92</v>
      </c>
      <c r="D2784" t="s">
        <v>64</v>
      </c>
      <c r="E2784" t="s">
        <v>1803</v>
      </c>
      <c r="F2784" s="13">
        <v>2</v>
      </c>
      <c r="G2784" s="14">
        <v>8449.48</v>
      </c>
      <c r="H2784" s="13">
        <v>118</v>
      </c>
      <c r="I2784" t="s">
        <v>76</v>
      </c>
    </row>
    <row r="2785" spans="1:9" x14ac:dyDescent="0.3">
      <c r="A2785">
        <v>5791</v>
      </c>
      <c r="B2785" t="s">
        <v>423</v>
      </c>
      <c r="C2785" t="s">
        <v>92</v>
      </c>
      <c r="D2785" t="s">
        <v>64</v>
      </c>
      <c r="E2785" t="s">
        <v>1803</v>
      </c>
      <c r="F2785" s="13">
        <v>2</v>
      </c>
      <c r="G2785" s="14">
        <v>595.66</v>
      </c>
      <c r="H2785" s="13">
        <v>118</v>
      </c>
      <c r="I2785" t="s">
        <v>76</v>
      </c>
    </row>
    <row r="2786" spans="1:9" x14ac:dyDescent="0.3">
      <c r="A2786">
        <v>7025</v>
      </c>
      <c r="B2786" t="s">
        <v>1808</v>
      </c>
      <c r="C2786" t="s">
        <v>92</v>
      </c>
      <c r="D2786" t="s">
        <v>64</v>
      </c>
      <c r="E2786" t="s">
        <v>1803</v>
      </c>
      <c r="F2786" s="13">
        <v>2</v>
      </c>
      <c r="G2786" s="14">
        <v>2401.67</v>
      </c>
      <c r="H2786" s="13">
        <v>118</v>
      </c>
      <c r="I2786" t="s">
        <v>76</v>
      </c>
    </row>
    <row r="2787" spans="1:9" x14ac:dyDescent="0.3">
      <c r="A2787">
        <v>7103</v>
      </c>
      <c r="B2787" t="s">
        <v>509</v>
      </c>
      <c r="C2787" t="s">
        <v>87</v>
      </c>
      <c r="D2787" t="s">
        <v>64</v>
      </c>
      <c r="E2787" t="s">
        <v>1803</v>
      </c>
      <c r="F2787" s="13">
        <v>9</v>
      </c>
      <c r="G2787" s="14">
        <v>11491.17</v>
      </c>
      <c r="H2787" s="13">
        <v>118</v>
      </c>
      <c r="I2787" t="s">
        <v>76</v>
      </c>
    </row>
    <row r="2788" spans="1:9" x14ac:dyDescent="0.3">
      <c r="A2788">
        <v>7453</v>
      </c>
      <c r="B2788" t="s">
        <v>1809</v>
      </c>
      <c r="C2788" t="s">
        <v>90</v>
      </c>
      <c r="D2788" t="s">
        <v>66</v>
      </c>
      <c r="E2788" t="s">
        <v>1803</v>
      </c>
      <c r="F2788" s="13">
        <v>3</v>
      </c>
      <c r="G2788" s="14">
        <v>1291.21</v>
      </c>
      <c r="H2788" s="13">
        <v>118</v>
      </c>
      <c r="I2788" t="s">
        <v>76</v>
      </c>
    </row>
    <row r="2789" spans="1:9" x14ac:dyDescent="0.3">
      <c r="A2789">
        <v>7585</v>
      </c>
      <c r="B2789" t="s">
        <v>797</v>
      </c>
      <c r="C2789" t="s">
        <v>123</v>
      </c>
      <c r="D2789" t="s">
        <v>65</v>
      </c>
      <c r="E2789" t="s">
        <v>1803</v>
      </c>
      <c r="F2789" s="13">
        <v>3</v>
      </c>
      <c r="G2789" s="14">
        <v>944.15</v>
      </c>
      <c r="H2789" s="13">
        <v>118</v>
      </c>
      <c r="I2789" t="s">
        <v>76</v>
      </c>
    </row>
    <row r="2790" spans="1:9" x14ac:dyDescent="0.3">
      <c r="A2790">
        <v>7986</v>
      </c>
      <c r="B2790" t="s">
        <v>109</v>
      </c>
      <c r="C2790" t="s">
        <v>92</v>
      </c>
      <c r="D2790" t="s">
        <v>64</v>
      </c>
      <c r="E2790" t="s">
        <v>1803</v>
      </c>
      <c r="F2790" s="13">
        <v>5</v>
      </c>
      <c r="G2790" s="14">
        <v>2963.59</v>
      </c>
      <c r="H2790" s="13">
        <v>118</v>
      </c>
      <c r="I2790" t="s">
        <v>76</v>
      </c>
    </row>
    <row r="2791" spans="1:9" x14ac:dyDescent="0.3">
      <c r="A2791">
        <v>8851</v>
      </c>
      <c r="B2791" t="s">
        <v>1730</v>
      </c>
      <c r="C2791" t="s">
        <v>97</v>
      </c>
      <c r="D2791" t="s">
        <v>65</v>
      </c>
      <c r="E2791" t="s">
        <v>1803</v>
      </c>
      <c r="F2791" s="13">
        <v>2</v>
      </c>
      <c r="G2791" s="14">
        <v>2451.91</v>
      </c>
      <c r="H2791" s="13">
        <v>118</v>
      </c>
      <c r="I2791" t="s">
        <v>76</v>
      </c>
    </row>
    <row r="2792" spans="1:9" x14ac:dyDescent="0.3">
      <c r="A2792">
        <v>8915</v>
      </c>
      <c r="B2792" t="s">
        <v>1810</v>
      </c>
      <c r="C2792" t="s">
        <v>133</v>
      </c>
      <c r="D2792" t="s">
        <v>64</v>
      </c>
      <c r="E2792" t="s">
        <v>1803</v>
      </c>
      <c r="F2792" s="13">
        <v>5</v>
      </c>
      <c r="G2792" s="14">
        <v>6659.1</v>
      </c>
      <c r="H2792" s="13">
        <v>118</v>
      </c>
      <c r="I2792" t="s">
        <v>76</v>
      </c>
    </row>
    <row r="2793" spans="1:9" x14ac:dyDescent="0.3">
      <c r="A2793">
        <v>68</v>
      </c>
      <c r="B2793" t="s">
        <v>346</v>
      </c>
      <c r="C2793" t="s">
        <v>121</v>
      </c>
      <c r="D2793" t="s">
        <v>67</v>
      </c>
      <c r="E2793" t="s">
        <v>1811</v>
      </c>
      <c r="F2793" s="13">
        <v>1</v>
      </c>
      <c r="G2793" s="14">
        <v>602.49</v>
      </c>
      <c r="H2793" s="13">
        <v>117</v>
      </c>
      <c r="I2793" t="s">
        <v>76</v>
      </c>
    </row>
    <row r="2794" spans="1:9" x14ac:dyDescent="0.3">
      <c r="A2794">
        <v>138</v>
      </c>
      <c r="B2794" t="s">
        <v>1812</v>
      </c>
      <c r="C2794" t="s">
        <v>92</v>
      </c>
      <c r="D2794" t="s">
        <v>64</v>
      </c>
      <c r="E2794" t="s">
        <v>1811</v>
      </c>
      <c r="F2794" s="13">
        <v>1</v>
      </c>
      <c r="G2794" s="14">
        <v>2937.24</v>
      </c>
      <c r="H2794" s="13">
        <v>117</v>
      </c>
      <c r="I2794" t="s">
        <v>76</v>
      </c>
    </row>
    <row r="2795" spans="1:9" x14ac:dyDescent="0.3">
      <c r="A2795">
        <v>237</v>
      </c>
      <c r="B2795" t="s">
        <v>1813</v>
      </c>
      <c r="C2795" t="s">
        <v>114</v>
      </c>
      <c r="D2795" t="s">
        <v>66</v>
      </c>
      <c r="E2795" t="s">
        <v>1811</v>
      </c>
      <c r="F2795" s="13">
        <v>6</v>
      </c>
      <c r="G2795" s="14">
        <v>3659.48</v>
      </c>
      <c r="H2795" s="13">
        <v>117</v>
      </c>
      <c r="I2795" t="s">
        <v>76</v>
      </c>
    </row>
    <row r="2796" spans="1:9" x14ac:dyDescent="0.3">
      <c r="A2796">
        <v>339</v>
      </c>
      <c r="B2796" t="s">
        <v>1814</v>
      </c>
      <c r="C2796" t="s">
        <v>137</v>
      </c>
      <c r="D2796" t="s">
        <v>64</v>
      </c>
      <c r="E2796" t="s">
        <v>1811</v>
      </c>
      <c r="F2796" s="13">
        <v>4</v>
      </c>
      <c r="G2796" s="14">
        <v>14711.03</v>
      </c>
      <c r="H2796" s="13">
        <v>117</v>
      </c>
      <c r="I2796" t="s">
        <v>76</v>
      </c>
    </row>
    <row r="2797" spans="1:9" x14ac:dyDescent="0.3">
      <c r="A2797">
        <v>435</v>
      </c>
      <c r="B2797" t="s">
        <v>1815</v>
      </c>
      <c r="C2797" t="s">
        <v>95</v>
      </c>
      <c r="D2797" t="s">
        <v>65</v>
      </c>
      <c r="E2797" t="s">
        <v>1811</v>
      </c>
      <c r="F2797" s="13">
        <v>2</v>
      </c>
      <c r="G2797" s="14">
        <v>2701.16</v>
      </c>
      <c r="H2797" s="13">
        <v>117</v>
      </c>
      <c r="I2797" t="s">
        <v>76</v>
      </c>
    </row>
    <row r="2798" spans="1:9" x14ac:dyDescent="0.3">
      <c r="A2798">
        <v>1792</v>
      </c>
      <c r="B2798" t="s">
        <v>1816</v>
      </c>
      <c r="C2798" t="s">
        <v>92</v>
      </c>
      <c r="D2798" t="s">
        <v>64</v>
      </c>
      <c r="E2798" t="s">
        <v>1811</v>
      </c>
      <c r="F2798" s="13">
        <v>1</v>
      </c>
      <c r="G2798" s="14">
        <v>571.73</v>
      </c>
      <c r="H2798" s="13">
        <v>117</v>
      </c>
      <c r="I2798" t="s">
        <v>76</v>
      </c>
    </row>
    <row r="2799" spans="1:9" x14ac:dyDescent="0.3">
      <c r="A2799">
        <v>2712</v>
      </c>
      <c r="B2799" t="s">
        <v>1817</v>
      </c>
      <c r="C2799" t="s">
        <v>92</v>
      </c>
      <c r="D2799" t="s">
        <v>64</v>
      </c>
      <c r="E2799" t="s">
        <v>1811</v>
      </c>
      <c r="F2799" s="13">
        <v>2</v>
      </c>
      <c r="G2799" s="14">
        <v>686.83</v>
      </c>
      <c r="H2799" s="13">
        <v>117</v>
      </c>
      <c r="I2799" t="s">
        <v>76</v>
      </c>
    </row>
    <row r="2800" spans="1:9" x14ac:dyDescent="0.3">
      <c r="A2800">
        <v>3339</v>
      </c>
      <c r="B2800" t="s">
        <v>94</v>
      </c>
      <c r="C2800" t="s">
        <v>123</v>
      </c>
      <c r="D2800" t="s">
        <v>65</v>
      </c>
      <c r="E2800" t="s">
        <v>1811</v>
      </c>
      <c r="F2800" s="13">
        <v>2</v>
      </c>
      <c r="G2800" s="14">
        <v>777.23</v>
      </c>
      <c r="H2800" s="13">
        <v>117</v>
      </c>
      <c r="I2800" t="s">
        <v>76</v>
      </c>
    </row>
    <row r="2801" spans="1:9" x14ac:dyDescent="0.3">
      <c r="A2801">
        <v>3344</v>
      </c>
      <c r="B2801" t="s">
        <v>1818</v>
      </c>
      <c r="C2801" t="s">
        <v>137</v>
      </c>
      <c r="D2801" t="s">
        <v>64</v>
      </c>
      <c r="E2801" t="s">
        <v>1811</v>
      </c>
      <c r="F2801" s="13">
        <v>1</v>
      </c>
      <c r="G2801" s="14">
        <v>543.48</v>
      </c>
      <c r="H2801" s="13">
        <v>117</v>
      </c>
      <c r="I2801" t="s">
        <v>76</v>
      </c>
    </row>
    <row r="2802" spans="1:9" x14ac:dyDescent="0.3">
      <c r="A2802">
        <v>3751</v>
      </c>
      <c r="B2802" t="s">
        <v>1819</v>
      </c>
      <c r="C2802" t="s">
        <v>90</v>
      </c>
      <c r="D2802" t="s">
        <v>66</v>
      </c>
      <c r="E2802" t="s">
        <v>1811</v>
      </c>
      <c r="F2802" s="13">
        <v>4</v>
      </c>
      <c r="G2802" s="14">
        <v>8944.48</v>
      </c>
      <c r="H2802" s="13">
        <v>117</v>
      </c>
      <c r="I2802" t="s">
        <v>76</v>
      </c>
    </row>
    <row r="2803" spans="1:9" x14ac:dyDescent="0.3">
      <c r="A2803">
        <v>3934</v>
      </c>
      <c r="B2803" t="s">
        <v>438</v>
      </c>
      <c r="C2803" t="s">
        <v>90</v>
      </c>
      <c r="D2803" t="s">
        <v>66</v>
      </c>
      <c r="E2803" t="s">
        <v>1811</v>
      </c>
      <c r="F2803" s="13">
        <v>2</v>
      </c>
      <c r="G2803" s="14">
        <v>789.22</v>
      </c>
      <c r="H2803" s="13">
        <v>117</v>
      </c>
      <c r="I2803" t="s">
        <v>76</v>
      </c>
    </row>
    <row r="2804" spans="1:9" x14ac:dyDescent="0.3">
      <c r="A2804">
        <v>4506</v>
      </c>
      <c r="B2804" t="s">
        <v>327</v>
      </c>
      <c r="C2804" t="s">
        <v>92</v>
      </c>
      <c r="D2804" t="s">
        <v>64</v>
      </c>
      <c r="E2804" t="s">
        <v>1811</v>
      </c>
      <c r="F2804" s="13">
        <v>4</v>
      </c>
      <c r="G2804" s="14">
        <v>11060.4</v>
      </c>
      <c r="H2804" s="13">
        <v>117</v>
      </c>
      <c r="I2804" t="s">
        <v>76</v>
      </c>
    </row>
    <row r="2805" spans="1:9" x14ac:dyDescent="0.3">
      <c r="A2805">
        <v>4772</v>
      </c>
      <c r="B2805" t="s">
        <v>1364</v>
      </c>
      <c r="C2805" t="s">
        <v>137</v>
      </c>
      <c r="D2805" t="s">
        <v>64</v>
      </c>
      <c r="E2805" t="s">
        <v>1811</v>
      </c>
      <c r="F2805" s="13">
        <v>1</v>
      </c>
      <c r="G2805" s="14">
        <v>1947.11</v>
      </c>
      <c r="H2805" s="13">
        <v>117</v>
      </c>
      <c r="I2805" t="s">
        <v>76</v>
      </c>
    </row>
    <row r="2806" spans="1:9" x14ac:dyDescent="0.3">
      <c r="A2806">
        <v>4874</v>
      </c>
      <c r="B2806" t="s">
        <v>1820</v>
      </c>
      <c r="C2806" t="s">
        <v>249</v>
      </c>
      <c r="D2806" t="s">
        <v>67</v>
      </c>
      <c r="E2806" t="s">
        <v>1811</v>
      </c>
      <c r="F2806" s="13">
        <v>2</v>
      </c>
      <c r="G2806" s="14">
        <v>693.06</v>
      </c>
      <c r="H2806" s="13">
        <v>117</v>
      </c>
      <c r="I2806" t="s">
        <v>76</v>
      </c>
    </row>
    <row r="2807" spans="1:9" x14ac:dyDescent="0.3">
      <c r="A2807">
        <v>5622</v>
      </c>
      <c r="B2807" t="s">
        <v>94</v>
      </c>
      <c r="C2807" t="s">
        <v>133</v>
      </c>
      <c r="D2807" t="s">
        <v>64</v>
      </c>
      <c r="E2807" t="s">
        <v>1811</v>
      </c>
      <c r="F2807" s="13">
        <v>4</v>
      </c>
      <c r="G2807" s="14">
        <v>4408.59</v>
      </c>
      <c r="H2807" s="13">
        <v>117</v>
      </c>
      <c r="I2807" t="s">
        <v>76</v>
      </c>
    </row>
    <row r="2808" spans="1:9" x14ac:dyDescent="0.3">
      <c r="A2808">
        <v>5838</v>
      </c>
      <c r="B2808" t="s">
        <v>1013</v>
      </c>
      <c r="C2808" t="s">
        <v>97</v>
      </c>
      <c r="D2808" t="s">
        <v>65</v>
      </c>
      <c r="E2808" t="s">
        <v>1811</v>
      </c>
      <c r="F2808" s="13">
        <v>4</v>
      </c>
      <c r="G2808" s="14">
        <v>3809.88</v>
      </c>
      <c r="H2808" s="13">
        <v>117</v>
      </c>
      <c r="I2808" t="s">
        <v>76</v>
      </c>
    </row>
    <row r="2809" spans="1:9" x14ac:dyDescent="0.3">
      <c r="A2809">
        <v>6792</v>
      </c>
      <c r="B2809" t="s">
        <v>364</v>
      </c>
      <c r="C2809" t="s">
        <v>92</v>
      </c>
      <c r="D2809" t="s">
        <v>64</v>
      </c>
      <c r="E2809" t="s">
        <v>1811</v>
      </c>
      <c r="F2809" s="13">
        <v>3</v>
      </c>
      <c r="G2809" s="14">
        <v>10540.56</v>
      </c>
      <c r="H2809" s="13">
        <v>117</v>
      </c>
      <c r="I2809" t="s">
        <v>76</v>
      </c>
    </row>
    <row r="2810" spans="1:9" x14ac:dyDescent="0.3">
      <c r="A2810">
        <v>7169</v>
      </c>
      <c r="B2810" t="s">
        <v>641</v>
      </c>
      <c r="C2810" t="s">
        <v>92</v>
      </c>
      <c r="D2810" t="s">
        <v>64</v>
      </c>
      <c r="E2810" t="s">
        <v>1811</v>
      </c>
      <c r="F2810" s="13">
        <v>1</v>
      </c>
      <c r="G2810" s="14">
        <v>706.63</v>
      </c>
      <c r="H2810" s="13">
        <v>117</v>
      </c>
      <c r="I2810" t="s">
        <v>76</v>
      </c>
    </row>
    <row r="2811" spans="1:9" x14ac:dyDescent="0.3">
      <c r="A2811">
        <v>7983</v>
      </c>
      <c r="B2811" t="s">
        <v>208</v>
      </c>
      <c r="C2811" t="s">
        <v>92</v>
      </c>
      <c r="D2811" t="s">
        <v>64</v>
      </c>
      <c r="E2811" t="s">
        <v>1811</v>
      </c>
      <c r="F2811" s="13">
        <v>2</v>
      </c>
      <c r="G2811" s="14">
        <v>6801.21</v>
      </c>
      <c r="H2811" s="13">
        <v>117</v>
      </c>
      <c r="I2811" t="s">
        <v>76</v>
      </c>
    </row>
    <row r="2812" spans="1:9" x14ac:dyDescent="0.3">
      <c r="A2812">
        <v>8623</v>
      </c>
      <c r="B2812" t="s">
        <v>162</v>
      </c>
      <c r="C2812" t="s">
        <v>100</v>
      </c>
      <c r="D2812" t="s">
        <v>66</v>
      </c>
      <c r="E2812" t="s">
        <v>1811</v>
      </c>
      <c r="F2812" s="13">
        <v>1</v>
      </c>
      <c r="G2812" s="14">
        <v>410.22</v>
      </c>
      <c r="H2812" s="13">
        <v>117</v>
      </c>
      <c r="I2812" t="s">
        <v>76</v>
      </c>
    </row>
    <row r="2813" spans="1:9" x14ac:dyDescent="0.3">
      <c r="A2813">
        <v>8830</v>
      </c>
      <c r="B2813" t="s">
        <v>162</v>
      </c>
      <c r="C2813" t="s">
        <v>133</v>
      </c>
      <c r="D2813" t="s">
        <v>64</v>
      </c>
      <c r="E2813" t="s">
        <v>1811</v>
      </c>
      <c r="F2813" s="13">
        <v>1</v>
      </c>
      <c r="G2813" s="14">
        <v>2123.5</v>
      </c>
      <c r="H2813" s="13">
        <v>117</v>
      </c>
      <c r="I2813" t="s">
        <v>76</v>
      </c>
    </row>
    <row r="2814" spans="1:9" x14ac:dyDescent="0.3">
      <c r="A2814">
        <v>8860</v>
      </c>
      <c r="B2814" t="s">
        <v>1821</v>
      </c>
      <c r="C2814" t="s">
        <v>90</v>
      </c>
      <c r="D2814" t="s">
        <v>66</v>
      </c>
      <c r="E2814" t="s">
        <v>1811</v>
      </c>
      <c r="F2814" s="13">
        <v>13</v>
      </c>
      <c r="G2814" s="14">
        <v>36236.58</v>
      </c>
      <c r="H2814" s="13">
        <v>117</v>
      </c>
      <c r="I2814" t="s">
        <v>76</v>
      </c>
    </row>
    <row r="2815" spans="1:9" x14ac:dyDescent="0.3">
      <c r="A2815">
        <v>8870</v>
      </c>
      <c r="B2815" t="s">
        <v>1822</v>
      </c>
      <c r="C2815" t="s">
        <v>137</v>
      </c>
      <c r="D2815" t="s">
        <v>64</v>
      </c>
      <c r="E2815" t="s">
        <v>1811</v>
      </c>
      <c r="F2815" s="13">
        <v>3</v>
      </c>
      <c r="G2815" s="14">
        <v>4000.4</v>
      </c>
      <c r="H2815" s="13">
        <v>117</v>
      </c>
      <c r="I2815" t="s">
        <v>76</v>
      </c>
    </row>
    <row r="2816" spans="1:9" x14ac:dyDescent="0.3">
      <c r="A2816">
        <v>207</v>
      </c>
      <c r="B2816" t="s">
        <v>264</v>
      </c>
      <c r="C2816" t="s">
        <v>133</v>
      </c>
      <c r="D2816" t="s">
        <v>64</v>
      </c>
      <c r="E2816" t="s">
        <v>1823</v>
      </c>
      <c r="F2816" s="13">
        <v>2</v>
      </c>
      <c r="G2816" s="14">
        <v>2313.09</v>
      </c>
      <c r="H2816" s="13">
        <v>116</v>
      </c>
      <c r="I2816" t="s">
        <v>76</v>
      </c>
    </row>
    <row r="2817" spans="1:9" x14ac:dyDescent="0.3">
      <c r="A2817">
        <v>277</v>
      </c>
      <c r="B2817" t="s">
        <v>259</v>
      </c>
      <c r="C2817" t="s">
        <v>123</v>
      </c>
      <c r="D2817" t="s">
        <v>65</v>
      </c>
      <c r="E2817" t="s">
        <v>1823</v>
      </c>
      <c r="F2817" s="13">
        <v>3</v>
      </c>
      <c r="G2817" s="14">
        <v>2658.33</v>
      </c>
      <c r="H2817" s="13">
        <v>116</v>
      </c>
      <c r="I2817" t="s">
        <v>76</v>
      </c>
    </row>
    <row r="2818" spans="1:9" x14ac:dyDescent="0.3">
      <c r="A2818">
        <v>448</v>
      </c>
      <c r="B2818" t="s">
        <v>325</v>
      </c>
      <c r="C2818" t="s">
        <v>473</v>
      </c>
      <c r="D2818" t="s">
        <v>68</v>
      </c>
      <c r="E2818" t="s">
        <v>1823</v>
      </c>
      <c r="F2818" s="13">
        <v>1</v>
      </c>
      <c r="G2818" s="14">
        <v>2520.87</v>
      </c>
      <c r="H2818" s="13">
        <v>116</v>
      </c>
      <c r="I2818" t="s">
        <v>76</v>
      </c>
    </row>
    <row r="2819" spans="1:9" x14ac:dyDescent="0.3">
      <c r="A2819">
        <v>479</v>
      </c>
      <c r="B2819" t="s">
        <v>1175</v>
      </c>
      <c r="C2819" t="s">
        <v>137</v>
      </c>
      <c r="D2819" t="s">
        <v>64</v>
      </c>
      <c r="E2819" t="s">
        <v>1823</v>
      </c>
      <c r="F2819" s="13">
        <v>6</v>
      </c>
      <c r="G2819" s="14">
        <v>11412.6</v>
      </c>
      <c r="H2819" s="13">
        <v>116</v>
      </c>
      <c r="I2819" t="s">
        <v>76</v>
      </c>
    </row>
    <row r="2820" spans="1:9" x14ac:dyDescent="0.3">
      <c r="A2820">
        <v>785</v>
      </c>
      <c r="B2820" t="s">
        <v>1824</v>
      </c>
      <c r="C2820" t="s">
        <v>90</v>
      </c>
      <c r="D2820" t="s">
        <v>66</v>
      </c>
      <c r="E2820" t="s">
        <v>1823</v>
      </c>
      <c r="F2820" s="13">
        <v>1</v>
      </c>
      <c r="G2820" s="14">
        <v>3604.78</v>
      </c>
      <c r="H2820" s="13">
        <v>116</v>
      </c>
      <c r="I2820" t="s">
        <v>76</v>
      </c>
    </row>
    <row r="2821" spans="1:9" x14ac:dyDescent="0.3">
      <c r="A2821">
        <v>922</v>
      </c>
      <c r="B2821" t="s">
        <v>116</v>
      </c>
      <c r="C2821" t="s">
        <v>137</v>
      </c>
      <c r="D2821" t="s">
        <v>64</v>
      </c>
      <c r="E2821" t="s">
        <v>1823</v>
      </c>
      <c r="F2821" s="13">
        <v>6</v>
      </c>
      <c r="G2821" s="14">
        <v>10339.57</v>
      </c>
      <c r="H2821" s="13">
        <v>116</v>
      </c>
      <c r="I2821" t="s">
        <v>76</v>
      </c>
    </row>
    <row r="2822" spans="1:9" x14ac:dyDescent="0.3">
      <c r="A2822">
        <v>1538</v>
      </c>
      <c r="B2822" t="s">
        <v>353</v>
      </c>
      <c r="C2822" t="s">
        <v>137</v>
      </c>
      <c r="D2822" t="s">
        <v>64</v>
      </c>
      <c r="E2822" t="s">
        <v>1823</v>
      </c>
      <c r="F2822" s="13">
        <v>1</v>
      </c>
      <c r="G2822" s="14">
        <v>67.069999999999993</v>
      </c>
      <c r="H2822" s="13">
        <v>116</v>
      </c>
      <c r="I2822" t="s">
        <v>76</v>
      </c>
    </row>
    <row r="2823" spans="1:9" x14ac:dyDescent="0.3">
      <c r="A2823">
        <v>2557</v>
      </c>
      <c r="B2823" t="s">
        <v>327</v>
      </c>
      <c r="C2823" t="s">
        <v>121</v>
      </c>
      <c r="D2823" t="s">
        <v>67</v>
      </c>
      <c r="E2823" t="s">
        <v>1823</v>
      </c>
      <c r="F2823" s="13">
        <v>3</v>
      </c>
      <c r="G2823" s="14">
        <v>1028.05</v>
      </c>
      <c r="H2823" s="13">
        <v>116</v>
      </c>
      <c r="I2823" t="s">
        <v>76</v>
      </c>
    </row>
    <row r="2824" spans="1:9" x14ac:dyDescent="0.3">
      <c r="A2824">
        <v>2655</v>
      </c>
      <c r="B2824" t="s">
        <v>346</v>
      </c>
      <c r="C2824" t="s">
        <v>156</v>
      </c>
      <c r="D2824" t="s">
        <v>68</v>
      </c>
      <c r="E2824" t="s">
        <v>1823</v>
      </c>
      <c r="F2824" s="13">
        <v>2</v>
      </c>
      <c r="G2824" s="14">
        <v>2996.68</v>
      </c>
      <c r="H2824" s="13">
        <v>116</v>
      </c>
      <c r="I2824" t="s">
        <v>76</v>
      </c>
    </row>
    <row r="2825" spans="1:9" x14ac:dyDescent="0.3">
      <c r="A2825">
        <v>3050</v>
      </c>
      <c r="B2825" t="s">
        <v>1825</v>
      </c>
      <c r="C2825" t="s">
        <v>133</v>
      </c>
      <c r="D2825" t="s">
        <v>64</v>
      </c>
      <c r="E2825" t="s">
        <v>1823</v>
      </c>
      <c r="F2825" s="13">
        <v>6</v>
      </c>
      <c r="G2825" s="14">
        <v>2253.5500000000002</v>
      </c>
      <c r="H2825" s="13">
        <v>116</v>
      </c>
      <c r="I2825" t="s">
        <v>76</v>
      </c>
    </row>
    <row r="2826" spans="1:9" x14ac:dyDescent="0.3">
      <c r="A2826">
        <v>3203</v>
      </c>
      <c r="B2826" t="s">
        <v>1263</v>
      </c>
      <c r="C2826" t="s">
        <v>133</v>
      </c>
      <c r="D2826" t="s">
        <v>64</v>
      </c>
      <c r="E2826" t="s">
        <v>1823</v>
      </c>
      <c r="F2826" s="13">
        <v>1</v>
      </c>
      <c r="G2826" s="14">
        <v>7085.77</v>
      </c>
      <c r="H2826" s="13">
        <v>116</v>
      </c>
      <c r="I2826" t="s">
        <v>76</v>
      </c>
    </row>
    <row r="2827" spans="1:9" x14ac:dyDescent="0.3">
      <c r="A2827">
        <v>4052</v>
      </c>
      <c r="B2827" t="s">
        <v>756</v>
      </c>
      <c r="C2827" t="s">
        <v>97</v>
      </c>
      <c r="D2827" t="s">
        <v>65</v>
      </c>
      <c r="E2827" t="s">
        <v>1823</v>
      </c>
      <c r="F2827" s="13">
        <v>1</v>
      </c>
      <c r="G2827" s="14">
        <v>2892.28</v>
      </c>
      <c r="H2827" s="13">
        <v>116</v>
      </c>
      <c r="I2827" t="s">
        <v>76</v>
      </c>
    </row>
    <row r="2828" spans="1:9" x14ac:dyDescent="0.3">
      <c r="A2828">
        <v>4624</v>
      </c>
      <c r="B2828" t="s">
        <v>1826</v>
      </c>
      <c r="C2828" t="s">
        <v>90</v>
      </c>
      <c r="D2828" t="s">
        <v>66</v>
      </c>
      <c r="E2828" t="s">
        <v>1823</v>
      </c>
      <c r="F2828" s="13">
        <v>1</v>
      </c>
      <c r="G2828" s="14">
        <v>7260.19</v>
      </c>
      <c r="H2828" s="13">
        <v>116</v>
      </c>
      <c r="I2828" t="s">
        <v>76</v>
      </c>
    </row>
    <row r="2829" spans="1:9" x14ac:dyDescent="0.3">
      <c r="A2829">
        <v>4656</v>
      </c>
      <c r="B2829" t="s">
        <v>314</v>
      </c>
      <c r="C2829" t="s">
        <v>473</v>
      </c>
      <c r="D2829" t="s">
        <v>68</v>
      </c>
      <c r="E2829" t="s">
        <v>1823</v>
      </c>
      <c r="F2829" s="13">
        <v>2</v>
      </c>
      <c r="G2829" s="14">
        <v>5093.07</v>
      </c>
      <c r="H2829" s="13">
        <v>116</v>
      </c>
      <c r="I2829" t="s">
        <v>76</v>
      </c>
    </row>
    <row r="2830" spans="1:9" x14ac:dyDescent="0.3">
      <c r="A2830">
        <v>5032</v>
      </c>
      <c r="B2830" t="s">
        <v>155</v>
      </c>
      <c r="C2830" t="s">
        <v>100</v>
      </c>
      <c r="D2830" t="s">
        <v>66</v>
      </c>
      <c r="E2830" t="s">
        <v>1823</v>
      </c>
      <c r="F2830" s="13">
        <v>2</v>
      </c>
      <c r="G2830" s="14">
        <v>1609.69</v>
      </c>
      <c r="H2830" s="13">
        <v>116</v>
      </c>
      <c r="I2830" t="s">
        <v>76</v>
      </c>
    </row>
    <row r="2831" spans="1:9" x14ac:dyDescent="0.3">
      <c r="A2831">
        <v>5499</v>
      </c>
      <c r="B2831" t="s">
        <v>116</v>
      </c>
      <c r="C2831" t="s">
        <v>90</v>
      </c>
      <c r="D2831" t="s">
        <v>66</v>
      </c>
      <c r="E2831" t="s">
        <v>1823</v>
      </c>
      <c r="F2831" s="13">
        <v>4</v>
      </c>
      <c r="G2831" s="14">
        <v>3761.78</v>
      </c>
      <c r="H2831" s="13">
        <v>116</v>
      </c>
      <c r="I2831" t="s">
        <v>76</v>
      </c>
    </row>
    <row r="2832" spans="1:9" x14ac:dyDescent="0.3">
      <c r="A2832">
        <v>5619</v>
      </c>
      <c r="B2832" t="s">
        <v>1827</v>
      </c>
      <c r="C2832" t="s">
        <v>92</v>
      </c>
      <c r="D2832" t="s">
        <v>64</v>
      </c>
      <c r="E2832" t="s">
        <v>1823</v>
      </c>
      <c r="F2832" s="13">
        <v>5</v>
      </c>
      <c r="G2832" s="14">
        <v>11048</v>
      </c>
      <c r="H2832" s="13">
        <v>116</v>
      </c>
      <c r="I2832" t="s">
        <v>76</v>
      </c>
    </row>
    <row r="2833" spans="1:9" x14ac:dyDescent="0.3">
      <c r="A2833">
        <v>6338</v>
      </c>
      <c r="B2833" t="s">
        <v>662</v>
      </c>
      <c r="C2833" t="s">
        <v>90</v>
      </c>
      <c r="D2833" t="s">
        <v>66</v>
      </c>
      <c r="E2833" t="s">
        <v>1823</v>
      </c>
      <c r="F2833" s="13">
        <v>6</v>
      </c>
      <c r="G2833" s="14">
        <v>20282.16</v>
      </c>
      <c r="H2833" s="13">
        <v>116</v>
      </c>
      <c r="I2833" t="s">
        <v>76</v>
      </c>
    </row>
    <row r="2834" spans="1:9" x14ac:dyDescent="0.3">
      <c r="A2834">
        <v>6345</v>
      </c>
      <c r="B2834" t="s">
        <v>176</v>
      </c>
      <c r="C2834" t="s">
        <v>133</v>
      </c>
      <c r="D2834" t="s">
        <v>64</v>
      </c>
      <c r="E2834" t="s">
        <v>1823</v>
      </c>
      <c r="F2834" s="13">
        <v>1</v>
      </c>
      <c r="G2834" s="14">
        <v>347.2</v>
      </c>
      <c r="H2834" s="13">
        <v>116</v>
      </c>
      <c r="I2834" t="s">
        <v>76</v>
      </c>
    </row>
    <row r="2835" spans="1:9" x14ac:dyDescent="0.3">
      <c r="A2835">
        <v>8130</v>
      </c>
      <c r="B2835" t="s">
        <v>1828</v>
      </c>
      <c r="C2835" t="s">
        <v>114</v>
      </c>
      <c r="D2835" t="s">
        <v>66</v>
      </c>
      <c r="E2835" t="s">
        <v>1823</v>
      </c>
      <c r="F2835" s="13">
        <v>2</v>
      </c>
      <c r="G2835" s="14">
        <v>5992.06</v>
      </c>
      <c r="H2835" s="13">
        <v>116</v>
      </c>
      <c r="I2835" t="s">
        <v>76</v>
      </c>
    </row>
    <row r="2836" spans="1:9" x14ac:dyDescent="0.3">
      <c r="A2836">
        <v>8389</v>
      </c>
      <c r="B2836" t="s">
        <v>1829</v>
      </c>
      <c r="C2836" t="s">
        <v>92</v>
      </c>
      <c r="D2836" t="s">
        <v>64</v>
      </c>
      <c r="E2836" t="s">
        <v>1823</v>
      </c>
      <c r="F2836" s="13">
        <v>1</v>
      </c>
      <c r="G2836" s="14">
        <v>5845.72</v>
      </c>
      <c r="H2836" s="13">
        <v>116</v>
      </c>
      <c r="I2836" t="s">
        <v>76</v>
      </c>
    </row>
    <row r="2837" spans="1:9" x14ac:dyDescent="0.3">
      <c r="A2837">
        <v>8576</v>
      </c>
      <c r="B2837" t="s">
        <v>415</v>
      </c>
      <c r="C2837" t="s">
        <v>92</v>
      </c>
      <c r="D2837" t="s">
        <v>64</v>
      </c>
      <c r="E2837" t="s">
        <v>1823</v>
      </c>
      <c r="F2837" s="13">
        <v>2</v>
      </c>
      <c r="G2837" s="14">
        <v>1178.75</v>
      </c>
      <c r="H2837" s="13">
        <v>116</v>
      </c>
      <c r="I2837" t="s">
        <v>76</v>
      </c>
    </row>
    <row r="2838" spans="1:9" x14ac:dyDescent="0.3">
      <c r="A2838">
        <v>8861</v>
      </c>
      <c r="B2838" t="s">
        <v>1830</v>
      </c>
      <c r="C2838" t="s">
        <v>137</v>
      </c>
      <c r="D2838" t="s">
        <v>64</v>
      </c>
      <c r="E2838" t="s">
        <v>1823</v>
      </c>
      <c r="F2838" s="13">
        <v>5</v>
      </c>
      <c r="G2838" s="14">
        <v>9202.84</v>
      </c>
      <c r="H2838" s="13">
        <v>116</v>
      </c>
      <c r="I2838" t="s">
        <v>76</v>
      </c>
    </row>
    <row r="2839" spans="1:9" x14ac:dyDescent="0.3">
      <c r="A2839">
        <v>456</v>
      </c>
      <c r="B2839" t="s">
        <v>1482</v>
      </c>
      <c r="C2839" t="s">
        <v>137</v>
      </c>
      <c r="D2839" t="s">
        <v>64</v>
      </c>
      <c r="E2839" t="s">
        <v>1831</v>
      </c>
      <c r="F2839" s="13">
        <v>1</v>
      </c>
      <c r="G2839" s="14">
        <v>532.16999999999996</v>
      </c>
      <c r="H2839" s="13">
        <v>115</v>
      </c>
      <c r="I2839" t="s">
        <v>76</v>
      </c>
    </row>
    <row r="2840" spans="1:9" x14ac:dyDescent="0.3">
      <c r="A2840">
        <v>1089</v>
      </c>
      <c r="B2840" t="s">
        <v>494</v>
      </c>
      <c r="C2840" t="s">
        <v>137</v>
      </c>
      <c r="D2840" t="s">
        <v>64</v>
      </c>
      <c r="E2840" t="s">
        <v>1831</v>
      </c>
      <c r="F2840" s="13">
        <v>2</v>
      </c>
      <c r="G2840" s="14">
        <v>5420.69</v>
      </c>
      <c r="H2840" s="13">
        <v>115</v>
      </c>
      <c r="I2840" t="s">
        <v>76</v>
      </c>
    </row>
    <row r="2841" spans="1:9" x14ac:dyDescent="0.3">
      <c r="A2841">
        <v>1273</v>
      </c>
      <c r="B2841" t="s">
        <v>466</v>
      </c>
      <c r="C2841" t="s">
        <v>249</v>
      </c>
      <c r="D2841" t="s">
        <v>67</v>
      </c>
      <c r="E2841" t="s">
        <v>1831</v>
      </c>
      <c r="F2841" s="13">
        <v>2</v>
      </c>
      <c r="G2841" s="14">
        <v>2647.39</v>
      </c>
      <c r="H2841" s="13">
        <v>115</v>
      </c>
      <c r="I2841" t="s">
        <v>76</v>
      </c>
    </row>
    <row r="2842" spans="1:9" x14ac:dyDescent="0.3">
      <c r="A2842">
        <v>1295</v>
      </c>
      <c r="B2842" t="s">
        <v>1832</v>
      </c>
      <c r="C2842" t="s">
        <v>92</v>
      </c>
      <c r="D2842" t="s">
        <v>64</v>
      </c>
      <c r="E2842" t="s">
        <v>1831</v>
      </c>
      <c r="F2842" s="13">
        <v>1</v>
      </c>
      <c r="G2842" s="14">
        <v>2890.3</v>
      </c>
      <c r="H2842" s="13">
        <v>115</v>
      </c>
      <c r="I2842" t="s">
        <v>76</v>
      </c>
    </row>
    <row r="2843" spans="1:9" x14ac:dyDescent="0.3">
      <c r="A2843">
        <v>1359</v>
      </c>
      <c r="B2843" t="s">
        <v>178</v>
      </c>
      <c r="C2843" t="s">
        <v>133</v>
      </c>
      <c r="D2843" t="s">
        <v>64</v>
      </c>
      <c r="E2843" t="s">
        <v>1831</v>
      </c>
      <c r="F2843" s="13">
        <v>5</v>
      </c>
      <c r="G2843" s="14">
        <v>16743.96</v>
      </c>
      <c r="H2843" s="13">
        <v>115</v>
      </c>
      <c r="I2843" t="s">
        <v>76</v>
      </c>
    </row>
    <row r="2844" spans="1:9" x14ac:dyDescent="0.3">
      <c r="A2844">
        <v>1405</v>
      </c>
      <c r="B2844" t="s">
        <v>1833</v>
      </c>
      <c r="C2844" t="s">
        <v>123</v>
      </c>
      <c r="D2844" t="s">
        <v>65</v>
      </c>
      <c r="E2844" t="s">
        <v>1831</v>
      </c>
      <c r="F2844" s="13">
        <v>2</v>
      </c>
      <c r="G2844" s="14">
        <v>3754.12</v>
      </c>
      <c r="H2844" s="13">
        <v>115</v>
      </c>
      <c r="I2844" t="s">
        <v>76</v>
      </c>
    </row>
    <row r="2845" spans="1:9" x14ac:dyDescent="0.3">
      <c r="A2845">
        <v>1986</v>
      </c>
      <c r="B2845" t="s">
        <v>756</v>
      </c>
      <c r="C2845" t="s">
        <v>92</v>
      </c>
      <c r="D2845" t="s">
        <v>64</v>
      </c>
      <c r="E2845" t="s">
        <v>1831</v>
      </c>
      <c r="F2845" s="13">
        <v>2</v>
      </c>
      <c r="G2845" s="14">
        <v>9092.24</v>
      </c>
      <c r="H2845" s="13">
        <v>115</v>
      </c>
      <c r="I2845" t="s">
        <v>76</v>
      </c>
    </row>
    <row r="2846" spans="1:9" x14ac:dyDescent="0.3">
      <c r="A2846">
        <v>2267</v>
      </c>
      <c r="B2846" t="s">
        <v>208</v>
      </c>
      <c r="C2846" t="s">
        <v>87</v>
      </c>
      <c r="D2846" t="s">
        <v>64</v>
      </c>
      <c r="E2846" t="s">
        <v>1831</v>
      </c>
      <c r="F2846" s="13">
        <v>4</v>
      </c>
      <c r="G2846" s="14">
        <v>6839.1</v>
      </c>
      <c r="H2846" s="13">
        <v>115</v>
      </c>
      <c r="I2846" t="s">
        <v>76</v>
      </c>
    </row>
    <row r="2847" spans="1:9" x14ac:dyDescent="0.3">
      <c r="A2847">
        <v>2502</v>
      </c>
      <c r="B2847" t="s">
        <v>366</v>
      </c>
      <c r="C2847" t="s">
        <v>92</v>
      </c>
      <c r="D2847" t="s">
        <v>64</v>
      </c>
      <c r="E2847" t="s">
        <v>1831</v>
      </c>
      <c r="F2847" s="13">
        <v>1</v>
      </c>
      <c r="G2847" s="14">
        <v>770.85</v>
      </c>
      <c r="H2847" s="13">
        <v>115</v>
      </c>
      <c r="I2847" t="s">
        <v>76</v>
      </c>
    </row>
    <row r="2848" spans="1:9" x14ac:dyDescent="0.3">
      <c r="A2848">
        <v>2517</v>
      </c>
      <c r="B2848" t="s">
        <v>1207</v>
      </c>
      <c r="C2848" t="s">
        <v>90</v>
      </c>
      <c r="D2848" t="s">
        <v>66</v>
      </c>
      <c r="E2848" t="s">
        <v>1831</v>
      </c>
      <c r="F2848" s="13">
        <v>4</v>
      </c>
      <c r="G2848" s="14">
        <v>4517.03</v>
      </c>
      <c r="H2848" s="13">
        <v>115</v>
      </c>
      <c r="I2848" t="s">
        <v>76</v>
      </c>
    </row>
    <row r="2849" spans="1:9" x14ac:dyDescent="0.3">
      <c r="A2849">
        <v>3021</v>
      </c>
      <c r="B2849" t="s">
        <v>460</v>
      </c>
      <c r="C2849" t="s">
        <v>97</v>
      </c>
      <c r="D2849" t="s">
        <v>65</v>
      </c>
      <c r="E2849" t="s">
        <v>1831</v>
      </c>
      <c r="F2849" s="13">
        <v>1</v>
      </c>
      <c r="G2849" s="14">
        <v>3128.93</v>
      </c>
      <c r="H2849" s="13">
        <v>115</v>
      </c>
      <c r="I2849" t="s">
        <v>76</v>
      </c>
    </row>
    <row r="2850" spans="1:9" x14ac:dyDescent="0.3">
      <c r="A2850">
        <v>3178</v>
      </c>
      <c r="B2850" t="s">
        <v>735</v>
      </c>
      <c r="C2850" t="s">
        <v>95</v>
      </c>
      <c r="D2850" t="s">
        <v>65</v>
      </c>
      <c r="E2850" t="s">
        <v>1831</v>
      </c>
      <c r="F2850" s="13">
        <v>3</v>
      </c>
      <c r="G2850" s="14">
        <v>2322.84</v>
      </c>
      <c r="H2850" s="13">
        <v>115</v>
      </c>
      <c r="I2850" t="s">
        <v>76</v>
      </c>
    </row>
    <row r="2851" spans="1:9" x14ac:dyDescent="0.3">
      <c r="A2851">
        <v>3998</v>
      </c>
      <c r="B2851" t="s">
        <v>1834</v>
      </c>
      <c r="C2851" t="s">
        <v>92</v>
      </c>
      <c r="D2851" t="s">
        <v>64</v>
      </c>
      <c r="E2851" t="s">
        <v>1831</v>
      </c>
      <c r="F2851" s="13">
        <v>2</v>
      </c>
      <c r="G2851" s="14">
        <v>12194.58</v>
      </c>
      <c r="H2851" s="13">
        <v>115</v>
      </c>
      <c r="I2851" t="s">
        <v>76</v>
      </c>
    </row>
    <row r="2852" spans="1:9" x14ac:dyDescent="0.3">
      <c r="A2852">
        <v>4026</v>
      </c>
      <c r="B2852" t="s">
        <v>532</v>
      </c>
      <c r="C2852" t="s">
        <v>95</v>
      </c>
      <c r="D2852" t="s">
        <v>65</v>
      </c>
      <c r="E2852" t="s">
        <v>1831</v>
      </c>
      <c r="F2852" s="13">
        <v>2</v>
      </c>
      <c r="G2852" s="14">
        <v>4183.38</v>
      </c>
      <c r="H2852" s="13">
        <v>115</v>
      </c>
      <c r="I2852" t="s">
        <v>76</v>
      </c>
    </row>
    <row r="2853" spans="1:9" x14ac:dyDescent="0.3">
      <c r="A2853">
        <v>4259</v>
      </c>
      <c r="B2853" t="s">
        <v>1156</v>
      </c>
      <c r="C2853" t="s">
        <v>92</v>
      </c>
      <c r="D2853" t="s">
        <v>64</v>
      </c>
      <c r="E2853" t="s">
        <v>1831</v>
      </c>
      <c r="F2853" s="13">
        <v>1</v>
      </c>
      <c r="G2853" s="14">
        <v>531.49</v>
      </c>
      <c r="H2853" s="13">
        <v>115</v>
      </c>
      <c r="I2853" t="s">
        <v>76</v>
      </c>
    </row>
    <row r="2854" spans="1:9" x14ac:dyDescent="0.3">
      <c r="A2854">
        <v>4476</v>
      </c>
      <c r="B2854" t="s">
        <v>1835</v>
      </c>
      <c r="C2854" t="s">
        <v>92</v>
      </c>
      <c r="D2854" t="s">
        <v>64</v>
      </c>
      <c r="E2854" t="s">
        <v>1831</v>
      </c>
      <c r="F2854" s="13">
        <v>1</v>
      </c>
      <c r="G2854" s="14">
        <v>3228.04</v>
      </c>
      <c r="H2854" s="13">
        <v>115</v>
      </c>
      <c r="I2854" t="s">
        <v>76</v>
      </c>
    </row>
    <row r="2855" spans="1:9" x14ac:dyDescent="0.3">
      <c r="A2855">
        <v>4537</v>
      </c>
      <c r="B2855" t="s">
        <v>1836</v>
      </c>
      <c r="C2855" t="s">
        <v>137</v>
      </c>
      <c r="D2855" t="s">
        <v>64</v>
      </c>
      <c r="E2855" t="s">
        <v>1831</v>
      </c>
      <c r="F2855" s="13">
        <v>3</v>
      </c>
      <c r="G2855" s="14">
        <v>9903.98</v>
      </c>
      <c r="H2855" s="13">
        <v>115</v>
      </c>
      <c r="I2855" t="s">
        <v>76</v>
      </c>
    </row>
    <row r="2856" spans="1:9" x14ac:dyDescent="0.3">
      <c r="A2856">
        <v>5946</v>
      </c>
      <c r="B2856" t="s">
        <v>1819</v>
      </c>
      <c r="C2856" t="s">
        <v>133</v>
      </c>
      <c r="D2856" t="s">
        <v>64</v>
      </c>
      <c r="E2856" t="s">
        <v>1831</v>
      </c>
      <c r="F2856" s="13">
        <v>3</v>
      </c>
      <c r="G2856" s="14">
        <v>3063.4</v>
      </c>
      <c r="H2856" s="13">
        <v>115</v>
      </c>
      <c r="I2856" t="s">
        <v>76</v>
      </c>
    </row>
    <row r="2857" spans="1:9" x14ac:dyDescent="0.3">
      <c r="A2857">
        <v>6024</v>
      </c>
      <c r="B2857" t="s">
        <v>662</v>
      </c>
      <c r="C2857" t="s">
        <v>92</v>
      </c>
      <c r="D2857" t="s">
        <v>64</v>
      </c>
      <c r="E2857" t="s">
        <v>1831</v>
      </c>
      <c r="F2857" s="13">
        <v>3</v>
      </c>
      <c r="G2857" s="14">
        <v>1390.83</v>
      </c>
      <c r="H2857" s="13">
        <v>115</v>
      </c>
      <c r="I2857" t="s">
        <v>76</v>
      </c>
    </row>
    <row r="2858" spans="1:9" x14ac:dyDescent="0.3">
      <c r="A2858">
        <v>6332</v>
      </c>
      <c r="B2858" t="s">
        <v>1837</v>
      </c>
      <c r="C2858" t="s">
        <v>103</v>
      </c>
      <c r="D2858" t="s">
        <v>67</v>
      </c>
      <c r="E2858" t="s">
        <v>1831</v>
      </c>
      <c r="F2858" s="13">
        <v>1</v>
      </c>
      <c r="G2858" s="14">
        <v>186.3</v>
      </c>
      <c r="H2858" s="13">
        <v>115</v>
      </c>
      <c r="I2858" t="s">
        <v>76</v>
      </c>
    </row>
    <row r="2859" spans="1:9" x14ac:dyDescent="0.3">
      <c r="A2859">
        <v>8150</v>
      </c>
      <c r="B2859" t="s">
        <v>1838</v>
      </c>
      <c r="C2859" t="s">
        <v>92</v>
      </c>
      <c r="D2859" t="s">
        <v>64</v>
      </c>
      <c r="E2859" t="s">
        <v>1831</v>
      </c>
      <c r="F2859" s="13">
        <v>3</v>
      </c>
      <c r="G2859" s="14">
        <v>4812.3</v>
      </c>
      <c r="H2859" s="13">
        <v>115</v>
      </c>
      <c r="I2859" t="s">
        <v>76</v>
      </c>
    </row>
    <row r="2860" spans="1:9" x14ac:dyDescent="0.3">
      <c r="A2860">
        <v>8464</v>
      </c>
      <c r="B2860" t="s">
        <v>645</v>
      </c>
      <c r="C2860" t="s">
        <v>137</v>
      </c>
      <c r="D2860" t="s">
        <v>64</v>
      </c>
      <c r="E2860" t="s">
        <v>1831</v>
      </c>
      <c r="F2860" s="13">
        <v>1</v>
      </c>
      <c r="G2860" s="14">
        <v>1015.05</v>
      </c>
      <c r="H2860" s="13">
        <v>115</v>
      </c>
      <c r="I2860" t="s">
        <v>76</v>
      </c>
    </row>
    <row r="2861" spans="1:9" x14ac:dyDescent="0.3">
      <c r="A2861">
        <v>205</v>
      </c>
      <c r="B2861" t="s">
        <v>1839</v>
      </c>
      <c r="C2861" t="s">
        <v>92</v>
      </c>
      <c r="D2861" t="s">
        <v>64</v>
      </c>
      <c r="E2861" t="s">
        <v>1840</v>
      </c>
      <c r="F2861" s="13">
        <v>3</v>
      </c>
      <c r="G2861" s="14">
        <v>1454.78</v>
      </c>
      <c r="H2861" s="13">
        <v>114</v>
      </c>
      <c r="I2861" t="s">
        <v>76</v>
      </c>
    </row>
    <row r="2862" spans="1:9" x14ac:dyDescent="0.3">
      <c r="A2862">
        <v>593</v>
      </c>
      <c r="B2862" t="s">
        <v>1841</v>
      </c>
      <c r="C2862" t="s">
        <v>90</v>
      </c>
      <c r="D2862" t="s">
        <v>66</v>
      </c>
      <c r="E2862" t="s">
        <v>1840</v>
      </c>
      <c r="F2862" s="13">
        <v>2</v>
      </c>
      <c r="G2862" s="14">
        <v>913.32</v>
      </c>
      <c r="H2862" s="13">
        <v>114</v>
      </c>
      <c r="I2862" t="s">
        <v>76</v>
      </c>
    </row>
    <row r="2863" spans="1:9" x14ac:dyDescent="0.3">
      <c r="A2863">
        <v>1864</v>
      </c>
      <c r="B2863" t="s">
        <v>364</v>
      </c>
      <c r="C2863" t="s">
        <v>121</v>
      </c>
      <c r="D2863" t="s">
        <v>67</v>
      </c>
      <c r="E2863" t="s">
        <v>1840</v>
      </c>
      <c r="F2863" s="13">
        <v>2</v>
      </c>
      <c r="G2863" s="14">
        <v>7597.82</v>
      </c>
      <c r="H2863" s="13">
        <v>114</v>
      </c>
      <c r="I2863" t="s">
        <v>76</v>
      </c>
    </row>
    <row r="2864" spans="1:9" x14ac:dyDescent="0.3">
      <c r="A2864">
        <v>2191</v>
      </c>
      <c r="B2864" t="s">
        <v>682</v>
      </c>
      <c r="C2864" t="s">
        <v>92</v>
      </c>
      <c r="D2864" t="s">
        <v>64</v>
      </c>
      <c r="E2864" t="s">
        <v>1840</v>
      </c>
      <c r="F2864" s="13">
        <v>2</v>
      </c>
      <c r="G2864" s="14">
        <v>3369.98</v>
      </c>
      <c r="H2864" s="13">
        <v>114</v>
      </c>
      <c r="I2864" t="s">
        <v>76</v>
      </c>
    </row>
    <row r="2865" spans="1:9" x14ac:dyDescent="0.3">
      <c r="A2865">
        <v>2978</v>
      </c>
      <c r="B2865" t="s">
        <v>1842</v>
      </c>
      <c r="C2865" t="s">
        <v>137</v>
      </c>
      <c r="D2865" t="s">
        <v>64</v>
      </c>
      <c r="E2865" t="s">
        <v>1840</v>
      </c>
      <c r="F2865" s="13">
        <v>3</v>
      </c>
      <c r="G2865" s="14">
        <v>3839.57</v>
      </c>
      <c r="H2865" s="13">
        <v>114</v>
      </c>
      <c r="I2865" t="s">
        <v>76</v>
      </c>
    </row>
    <row r="2866" spans="1:9" x14ac:dyDescent="0.3">
      <c r="A2866">
        <v>3237</v>
      </c>
      <c r="B2866" t="s">
        <v>1843</v>
      </c>
      <c r="C2866" t="s">
        <v>90</v>
      </c>
      <c r="D2866" t="s">
        <v>66</v>
      </c>
      <c r="E2866" t="s">
        <v>1840</v>
      </c>
      <c r="F2866" s="13">
        <v>2</v>
      </c>
      <c r="G2866" s="14">
        <v>688.67</v>
      </c>
      <c r="H2866" s="13">
        <v>114</v>
      </c>
      <c r="I2866" t="s">
        <v>76</v>
      </c>
    </row>
    <row r="2867" spans="1:9" x14ac:dyDescent="0.3">
      <c r="A2867">
        <v>3788</v>
      </c>
      <c r="B2867" t="s">
        <v>237</v>
      </c>
      <c r="C2867" t="s">
        <v>97</v>
      </c>
      <c r="D2867" t="s">
        <v>65</v>
      </c>
      <c r="E2867" t="s">
        <v>1840</v>
      </c>
      <c r="F2867" s="13">
        <v>2</v>
      </c>
      <c r="G2867" s="14">
        <v>2708.95</v>
      </c>
      <c r="H2867" s="13">
        <v>114</v>
      </c>
      <c r="I2867" t="s">
        <v>76</v>
      </c>
    </row>
    <row r="2868" spans="1:9" x14ac:dyDescent="0.3">
      <c r="A2868">
        <v>4428</v>
      </c>
      <c r="B2868" t="s">
        <v>205</v>
      </c>
      <c r="C2868" t="s">
        <v>137</v>
      </c>
      <c r="D2868" t="s">
        <v>64</v>
      </c>
      <c r="E2868" t="s">
        <v>1840</v>
      </c>
      <c r="F2868" s="13">
        <v>3</v>
      </c>
      <c r="G2868" s="14">
        <v>2232.3000000000002</v>
      </c>
      <c r="H2868" s="13">
        <v>114</v>
      </c>
      <c r="I2868" t="s">
        <v>76</v>
      </c>
    </row>
    <row r="2869" spans="1:9" x14ac:dyDescent="0.3">
      <c r="A2869">
        <v>4578</v>
      </c>
      <c r="B2869" t="s">
        <v>438</v>
      </c>
      <c r="C2869" t="s">
        <v>123</v>
      </c>
      <c r="D2869" t="s">
        <v>65</v>
      </c>
      <c r="E2869" t="s">
        <v>1840</v>
      </c>
      <c r="F2869" s="13">
        <v>1</v>
      </c>
      <c r="G2869" s="14">
        <v>2530.69</v>
      </c>
      <c r="H2869" s="13">
        <v>114</v>
      </c>
      <c r="I2869" t="s">
        <v>76</v>
      </c>
    </row>
    <row r="2870" spans="1:9" x14ac:dyDescent="0.3">
      <c r="A2870">
        <v>5346</v>
      </c>
      <c r="B2870" t="s">
        <v>509</v>
      </c>
      <c r="C2870" t="s">
        <v>114</v>
      </c>
      <c r="D2870" t="s">
        <v>66</v>
      </c>
      <c r="E2870" t="s">
        <v>1840</v>
      </c>
      <c r="F2870" s="13">
        <v>1</v>
      </c>
      <c r="G2870" s="14">
        <v>1566.15</v>
      </c>
      <c r="H2870" s="13">
        <v>114</v>
      </c>
      <c r="I2870" t="s">
        <v>76</v>
      </c>
    </row>
    <row r="2871" spans="1:9" x14ac:dyDescent="0.3">
      <c r="A2871">
        <v>5463</v>
      </c>
      <c r="B2871" t="s">
        <v>388</v>
      </c>
      <c r="C2871" t="s">
        <v>103</v>
      </c>
      <c r="D2871" t="s">
        <v>67</v>
      </c>
      <c r="E2871" t="s">
        <v>1840</v>
      </c>
      <c r="F2871" s="13">
        <v>2</v>
      </c>
      <c r="G2871" s="14">
        <v>1159.19</v>
      </c>
      <c r="H2871" s="13">
        <v>114</v>
      </c>
      <c r="I2871" t="s">
        <v>76</v>
      </c>
    </row>
    <row r="2872" spans="1:9" x14ac:dyDescent="0.3">
      <c r="A2872">
        <v>5551</v>
      </c>
      <c r="B2872" t="s">
        <v>321</v>
      </c>
      <c r="C2872" t="s">
        <v>95</v>
      </c>
      <c r="D2872" t="s">
        <v>65</v>
      </c>
      <c r="E2872" t="s">
        <v>1840</v>
      </c>
      <c r="F2872" s="13">
        <v>1</v>
      </c>
      <c r="G2872" s="14">
        <v>495.41</v>
      </c>
      <c r="H2872" s="13">
        <v>114</v>
      </c>
      <c r="I2872" t="s">
        <v>76</v>
      </c>
    </row>
    <row r="2873" spans="1:9" x14ac:dyDescent="0.3">
      <c r="A2873">
        <v>7019</v>
      </c>
      <c r="B2873" t="s">
        <v>1844</v>
      </c>
      <c r="C2873" t="s">
        <v>123</v>
      </c>
      <c r="D2873" t="s">
        <v>65</v>
      </c>
      <c r="E2873" t="s">
        <v>1840</v>
      </c>
      <c r="F2873" s="13">
        <v>5</v>
      </c>
      <c r="G2873" s="14">
        <v>8665.5300000000007</v>
      </c>
      <c r="H2873" s="13">
        <v>114</v>
      </c>
      <c r="I2873" t="s">
        <v>76</v>
      </c>
    </row>
    <row r="2874" spans="1:9" x14ac:dyDescent="0.3">
      <c r="A2874">
        <v>7596</v>
      </c>
      <c r="B2874" t="s">
        <v>302</v>
      </c>
      <c r="C2874" t="s">
        <v>156</v>
      </c>
      <c r="D2874" t="s">
        <v>68</v>
      </c>
      <c r="E2874" t="s">
        <v>1840</v>
      </c>
      <c r="F2874" s="13">
        <v>4</v>
      </c>
      <c r="G2874" s="14">
        <v>9507.6200000000008</v>
      </c>
      <c r="H2874" s="13">
        <v>114</v>
      </c>
      <c r="I2874" t="s">
        <v>76</v>
      </c>
    </row>
    <row r="2875" spans="1:9" x14ac:dyDescent="0.3">
      <c r="A2875">
        <v>7840</v>
      </c>
      <c r="B2875" t="s">
        <v>415</v>
      </c>
      <c r="C2875" t="s">
        <v>123</v>
      </c>
      <c r="D2875" t="s">
        <v>65</v>
      </c>
      <c r="E2875" t="s">
        <v>1840</v>
      </c>
      <c r="F2875" s="13">
        <v>1</v>
      </c>
      <c r="G2875" s="14">
        <v>2008.84</v>
      </c>
      <c r="H2875" s="13">
        <v>114</v>
      </c>
      <c r="I2875" t="s">
        <v>76</v>
      </c>
    </row>
    <row r="2876" spans="1:9" x14ac:dyDescent="0.3">
      <c r="A2876">
        <v>1338</v>
      </c>
      <c r="B2876" t="s">
        <v>1613</v>
      </c>
      <c r="C2876" t="s">
        <v>92</v>
      </c>
      <c r="D2876" t="s">
        <v>64</v>
      </c>
      <c r="E2876" t="s">
        <v>1845</v>
      </c>
      <c r="F2876" s="13">
        <v>4</v>
      </c>
      <c r="G2876" s="14">
        <v>971.55</v>
      </c>
      <c r="H2876" s="13">
        <v>113</v>
      </c>
      <c r="I2876" t="s">
        <v>76</v>
      </c>
    </row>
    <row r="2877" spans="1:9" x14ac:dyDescent="0.3">
      <c r="A2877">
        <v>1749</v>
      </c>
      <c r="B2877" t="s">
        <v>167</v>
      </c>
      <c r="C2877" t="s">
        <v>133</v>
      </c>
      <c r="D2877" t="s">
        <v>64</v>
      </c>
      <c r="E2877" t="s">
        <v>1845</v>
      </c>
      <c r="F2877" s="13">
        <v>2</v>
      </c>
      <c r="G2877" s="14">
        <v>3075.51</v>
      </c>
      <c r="H2877" s="13">
        <v>113</v>
      </c>
      <c r="I2877" t="s">
        <v>76</v>
      </c>
    </row>
    <row r="2878" spans="1:9" x14ac:dyDescent="0.3">
      <c r="A2878">
        <v>2046</v>
      </c>
      <c r="B2878" t="s">
        <v>163</v>
      </c>
      <c r="C2878" t="s">
        <v>123</v>
      </c>
      <c r="D2878" t="s">
        <v>65</v>
      </c>
      <c r="E2878" t="s">
        <v>1845</v>
      </c>
      <c r="F2878" s="13">
        <v>3</v>
      </c>
      <c r="G2878" s="14">
        <v>6860.33</v>
      </c>
      <c r="H2878" s="13">
        <v>113</v>
      </c>
      <c r="I2878" t="s">
        <v>76</v>
      </c>
    </row>
    <row r="2879" spans="1:9" x14ac:dyDescent="0.3">
      <c r="A2879">
        <v>2681</v>
      </c>
      <c r="B2879" t="s">
        <v>1846</v>
      </c>
      <c r="C2879" t="s">
        <v>90</v>
      </c>
      <c r="D2879" t="s">
        <v>66</v>
      </c>
      <c r="E2879" t="s">
        <v>1845</v>
      </c>
      <c r="F2879" s="13">
        <v>1</v>
      </c>
      <c r="G2879" s="14">
        <v>721.24</v>
      </c>
      <c r="H2879" s="13">
        <v>113</v>
      </c>
      <c r="I2879" t="s">
        <v>76</v>
      </c>
    </row>
    <row r="2880" spans="1:9" x14ac:dyDescent="0.3">
      <c r="A2880">
        <v>2936</v>
      </c>
      <c r="B2880" t="s">
        <v>966</v>
      </c>
      <c r="C2880" t="s">
        <v>133</v>
      </c>
      <c r="D2880" t="s">
        <v>64</v>
      </c>
      <c r="E2880" t="s">
        <v>1845</v>
      </c>
      <c r="F2880" s="13">
        <v>1</v>
      </c>
      <c r="G2880" s="14">
        <v>1129.76</v>
      </c>
      <c r="H2880" s="13">
        <v>113</v>
      </c>
      <c r="I2880" t="s">
        <v>76</v>
      </c>
    </row>
    <row r="2881" spans="1:9" x14ac:dyDescent="0.3">
      <c r="A2881">
        <v>3236</v>
      </c>
      <c r="B2881" t="s">
        <v>382</v>
      </c>
      <c r="C2881" t="s">
        <v>114</v>
      </c>
      <c r="D2881" t="s">
        <v>66</v>
      </c>
      <c r="E2881" t="s">
        <v>1845</v>
      </c>
      <c r="F2881" s="13">
        <v>1</v>
      </c>
      <c r="G2881" s="14">
        <v>518.39</v>
      </c>
      <c r="H2881" s="13">
        <v>113</v>
      </c>
      <c r="I2881" t="s">
        <v>76</v>
      </c>
    </row>
    <row r="2882" spans="1:9" x14ac:dyDescent="0.3">
      <c r="A2882">
        <v>3278</v>
      </c>
      <c r="B2882" t="s">
        <v>135</v>
      </c>
      <c r="C2882" t="s">
        <v>92</v>
      </c>
      <c r="D2882" t="s">
        <v>64</v>
      </c>
      <c r="E2882" t="s">
        <v>1845</v>
      </c>
      <c r="F2882" s="13">
        <v>1</v>
      </c>
      <c r="G2882" s="14">
        <v>14321.52</v>
      </c>
      <c r="H2882" s="13">
        <v>113</v>
      </c>
      <c r="I2882" t="s">
        <v>76</v>
      </c>
    </row>
    <row r="2883" spans="1:9" x14ac:dyDescent="0.3">
      <c r="A2883">
        <v>3779</v>
      </c>
      <c r="B2883" t="s">
        <v>1847</v>
      </c>
      <c r="C2883" t="s">
        <v>90</v>
      </c>
      <c r="D2883" t="s">
        <v>66</v>
      </c>
      <c r="E2883" t="s">
        <v>1845</v>
      </c>
      <c r="F2883" s="13">
        <v>3</v>
      </c>
      <c r="G2883" s="14">
        <v>1730.71</v>
      </c>
      <c r="H2883" s="13">
        <v>113</v>
      </c>
      <c r="I2883" t="s">
        <v>76</v>
      </c>
    </row>
    <row r="2884" spans="1:9" x14ac:dyDescent="0.3">
      <c r="A2884">
        <v>4179</v>
      </c>
      <c r="B2884" t="s">
        <v>142</v>
      </c>
      <c r="C2884" t="s">
        <v>92</v>
      </c>
      <c r="D2884" t="s">
        <v>64</v>
      </c>
      <c r="E2884" t="s">
        <v>1845</v>
      </c>
      <c r="F2884" s="13">
        <v>2</v>
      </c>
      <c r="G2884" s="14">
        <v>8115.57</v>
      </c>
      <c r="H2884" s="13">
        <v>113</v>
      </c>
      <c r="I2884" t="s">
        <v>76</v>
      </c>
    </row>
    <row r="2885" spans="1:9" x14ac:dyDescent="0.3">
      <c r="A2885">
        <v>4798</v>
      </c>
      <c r="B2885" t="s">
        <v>162</v>
      </c>
      <c r="C2885" t="s">
        <v>92</v>
      </c>
      <c r="D2885" t="s">
        <v>64</v>
      </c>
      <c r="E2885" t="s">
        <v>1845</v>
      </c>
      <c r="F2885" s="13">
        <v>1</v>
      </c>
      <c r="G2885" s="14">
        <v>2921.95</v>
      </c>
      <c r="H2885" s="13">
        <v>113</v>
      </c>
      <c r="I2885" t="s">
        <v>76</v>
      </c>
    </row>
    <row r="2886" spans="1:9" x14ac:dyDescent="0.3">
      <c r="A2886">
        <v>4981</v>
      </c>
      <c r="B2886" t="s">
        <v>1843</v>
      </c>
      <c r="C2886" t="s">
        <v>92</v>
      </c>
      <c r="D2886" t="s">
        <v>64</v>
      </c>
      <c r="E2886" t="s">
        <v>1845</v>
      </c>
      <c r="F2886" s="13">
        <v>1</v>
      </c>
      <c r="G2886" s="14">
        <v>545.41</v>
      </c>
      <c r="H2886" s="13">
        <v>113</v>
      </c>
      <c r="I2886" t="s">
        <v>76</v>
      </c>
    </row>
    <row r="2887" spans="1:9" x14ac:dyDescent="0.3">
      <c r="A2887">
        <v>4993</v>
      </c>
      <c r="B2887" t="s">
        <v>169</v>
      </c>
      <c r="C2887" t="s">
        <v>92</v>
      </c>
      <c r="D2887" t="s">
        <v>64</v>
      </c>
      <c r="E2887" t="s">
        <v>1845</v>
      </c>
      <c r="F2887" s="13">
        <v>1</v>
      </c>
      <c r="G2887" s="14">
        <v>896.51</v>
      </c>
      <c r="H2887" s="13">
        <v>113</v>
      </c>
      <c r="I2887" t="s">
        <v>76</v>
      </c>
    </row>
    <row r="2888" spans="1:9" x14ac:dyDescent="0.3">
      <c r="A2888">
        <v>5786</v>
      </c>
      <c r="B2888" t="s">
        <v>237</v>
      </c>
      <c r="C2888" t="s">
        <v>249</v>
      </c>
      <c r="D2888" t="s">
        <v>67</v>
      </c>
      <c r="E2888" t="s">
        <v>1845</v>
      </c>
      <c r="F2888" s="13">
        <v>2</v>
      </c>
      <c r="G2888" s="14">
        <v>1863.31</v>
      </c>
      <c r="H2888" s="13">
        <v>113</v>
      </c>
      <c r="I2888" t="s">
        <v>76</v>
      </c>
    </row>
    <row r="2889" spans="1:9" x14ac:dyDescent="0.3">
      <c r="A2889">
        <v>6316</v>
      </c>
      <c r="B2889" t="s">
        <v>543</v>
      </c>
      <c r="C2889" t="s">
        <v>103</v>
      </c>
      <c r="D2889" t="s">
        <v>67</v>
      </c>
      <c r="E2889" t="s">
        <v>1845</v>
      </c>
      <c r="F2889" s="13">
        <v>1</v>
      </c>
      <c r="G2889" s="14">
        <v>652.01</v>
      </c>
      <c r="H2889" s="13">
        <v>113</v>
      </c>
      <c r="I2889" t="s">
        <v>76</v>
      </c>
    </row>
    <row r="2890" spans="1:9" x14ac:dyDescent="0.3">
      <c r="A2890">
        <v>6806</v>
      </c>
      <c r="B2890" t="s">
        <v>765</v>
      </c>
      <c r="C2890" t="s">
        <v>92</v>
      </c>
      <c r="D2890" t="s">
        <v>64</v>
      </c>
      <c r="E2890" t="s">
        <v>1845</v>
      </c>
      <c r="F2890" s="13">
        <v>2</v>
      </c>
      <c r="G2890" s="14">
        <v>3360.8</v>
      </c>
      <c r="H2890" s="13">
        <v>113</v>
      </c>
      <c r="I2890" t="s">
        <v>76</v>
      </c>
    </row>
    <row r="2891" spans="1:9" x14ac:dyDescent="0.3">
      <c r="A2891">
        <v>7431</v>
      </c>
      <c r="B2891" t="s">
        <v>135</v>
      </c>
      <c r="C2891" t="s">
        <v>92</v>
      </c>
      <c r="D2891" t="s">
        <v>64</v>
      </c>
      <c r="E2891" t="s">
        <v>1845</v>
      </c>
      <c r="F2891" s="13">
        <v>1</v>
      </c>
      <c r="G2891" s="14">
        <v>2558.0100000000002</v>
      </c>
      <c r="H2891" s="13">
        <v>113</v>
      </c>
      <c r="I2891" t="s">
        <v>76</v>
      </c>
    </row>
    <row r="2892" spans="1:9" x14ac:dyDescent="0.3">
      <c r="A2892">
        <v>7874</v>
      </c>
      <c r="B2892" t="s">
        <v>1848</v>
      </c>
      <c r="C2892" t="s">
        <v>95</v>
      </c>
      <c r="D2892" t="s">
        <v>65</v>
      </c>
      <c r="E2892" t="s">
        <v>1845</v>
      </c>
      <c r="F2892" s="13">
        <v>1</v>
      </c>
      <c r="G2892" s="14">
        <v>408.03</v>
      </c>
      <c r="H2892" s="13">
        <v>113</v>
      </c>
      <c r="I2892" t="s">
        <v>76</v>
      </c>
    </row>
    <row r="2893" spans="1:9" x14ac:dyDescent="0.3">
      <c r="A2893">
        <v>7875</v>
      </c>
      <c r="B2893" t="s">
        <v>1849</v>
      </c>
      <c r="C2893" t="s">
        <v>123</v>
      </c>
      <c r="D2893" t="s">
        <v>65</v>
      </c>
      <c r="E2893" t="s">
        <v>1845</v>
      </c>
      <c r="F2893" s="13">
        <v>3</v>
      </c>
      <c r="G2893" s="14">
        <v>6454.68</v>
      </c>
      <c r="H2893" s="13">
        <v>113</v>
      </c>
      <c r="I2893" t="s">
        <v>76</v>
      </c>
    </row>
    <row r="2894" spans="1:9" x14ac:dyDescent="0.3">
      <c r="A2894">
        <v>8970</v>
      </c>
      <c r="B2894" t="s">
        <v>438</v>
      </c>
      <c r="C2894" t="s">
        <v>92</v>
      </c>
      <c r="D2894" t="s">
        <v>64</v>
      </c>
      <c r="E2894" t="s">
        <v>1845</v>
      </c>
      <c r="F2894" s="13">
        <v>3</v>
      </c>
      <c r="G2894" s="14">
        <v>19886.099999999999</v>
      </c>
      <c r="H2894" s="13">
        <v>113</v>
      </c>
      <c r="I2894" t="s">
        <v>76</v>
      </c>
    </row>
    <row r="2895" spans="1:9" x14ac:dyDescent="0.3">
      <c r="A2895">
        <v>1690</v>
      </c>
      <c r="B2895" t="s">
        <v>191</v>
      </c>
      <c r="C2895" t="s">
        <v>92</v>
      </c>
      <c r="D2895" t="s">
        <v>64</v>
      </c>
      <c r="E2895" t="s">
        <v>1850</v>
      </c>
      <c r="F2895" s="13">
        <v>2</v>
      </c>
      <c r="G2895" s="14">
        <v>4876.09</v>
      </c>
      <c r="H2895" s="13">
        <v>112</v>
      </c>
      <c r="I2895" t="s">
        <v>76</v>
      </c>
    </row>
    <row r="2896" spans="1:9" x14ac:dyDescent="0.3">
      <c r="A2896">
        <v>2076</v>
      </c>
      <c r="B2896" t="s">
        <v>494</v>
      </c>
      <c r="C2896" t="s">
        <v>137</v>
      </c>
      <c r="D2896" t="s">
        <v>64</v>
      </c>
      <c r="E2896" t="s">
        <v>1850</v>
      </c>
      <c r="F2896" s="13">
        <v>6</v>
      </c>
      <c r="G2896" s="14">
        <v>10515.55</v>
      </c>
      <c r="H2896" s="13">
        <v>112</v>
      </c>
      <c r="I2896" t="s">
        <v>76</v>
      </c>
    </row>
    <row r="2897" spans="1:9" x14ac:dyDescent="0.3">
      <c r="A2897">
        <v>2114</v>
      </c>
      <c r="B2897" t="s">
        <v>1851</v>
      </c>
      <c r="C2897" t="s">
        <v>123</v>
      </c>
      <c r="D2897" t="s">
        <v>65</v>
      </c>
      <c r="E2897" t="s">
        <v>1850</v>
      </c>
      <c r="F2897" s="13">
        <v>1</v>
      </c>
      <c r="G2897" s="14">
        <v>1445.14</v>
      </c>
      <c r="H2897" s="13">
        <v>112</v>
      </c>
      <c r="I2897" t="s">
        <v>76</v>
      </c>
    </row>
    <row r="2898" spans="1:9" x14ac:dyDescent="0.3">
      <c r="A2898">
        <v>2121</v>
      </c>
      <c r="B2898" t="s">
        <v>588</v>
      </c>
      <c r="C2898" t="s">
        <v>137</v>
      </c>
      <c r="D2898" t="s">
        <v>64</v>
      </c>
      <c r="E2898" t="s">
        <v>1850</v>
      </c>
      <c r="F2898" s="13">
        <v>3</v>
      </c>
      <c r="G2898" s="14">
        <v>3251.38</v>
      </c>
      <c r="H2898" s="13">
        <v>112</v>
      </c>
      <c r="I2898" t="s">
        <v>76</v>
      </c>
    </row>
    <row r="2899" spans="1:9" x14ac:dyDescent="0.3">
      <c r="A2899">
        <v>2137</v>
      </c>
      <c r="B2899" t="s">
        <v>257</v>
      </c>
      <c r="C2899" t="s">
        <v>137</v>
      </c>
      <c r="D2899" t="s">
        <v>64</v>
      </c>
      <c r="E2899" t="s">
        <v>1850</v>
      </c>
      <c r="F2899" s="13">
        <v>3</v>
      </c>
      <c r="G2899" s="14">
        <v>1007.61</v>
      </c>
      <c r="H2899" s="13">
        <v>112</v>
      </c>
      <c r="I2899" t="s">
        <v>76</v>
      </c>
    </row>
    <row r="2900" spans="1:9" x14ac:dyDescent="0.3">
      <c r="A2900">
        <v>2149</v>
      </c>
      <c r="B2900" t="s">
        <v>407</v>
      </c>
      <c r="C2900" t="s">
        <v>97</v>
      </c>
      <c r="D2900" t="s">
        <v>65</v>
      </c>
      <c r="E2900" t="s">
        <v>1850</v>
      </c>
      <c r="F2900" s="13">
        <v>2</v>
      </c>
      <c r="G2900" s="14">
        <v>7679.85</v>
      </c>
      <c r="H2900" s="13">
        <v>112</v>
      </c>
      <c r="I2900" t="s">
        <v>76</v>
      </c>
    </row>
    <row r="2901" spans="1:9" x14ac:dyDescent="0.3">
      <c r="A2901">
        <v>2533</v>
      </c>
      <c r="B2901" t="s">
        <v>86</v>
      </c>
      <c r="C2901" t="s">
        <v>95</v>
      </c>
      <c r="D2901" t="s">
        <v>65</v>
      </c>
      <c r="E2901" t="s">
        <v>1850</v>
      </c>
      <c r="F2901" s="13">
        <v>1</v>
      </c>
      <c r="G2901" s="14">
        <v>195.59</v>
      </c>
      <c r="H2901" s="13">
        <v>112</v>
      </c>
      <c r="I2901" t="s">
        <v>76</v>
      </c>
    </row>
    <row r="2902" spans="1:9" x14ac:dyDescent="0.3">
      <c r="A2902">
        <v>2970</v>
      </c>
      <c r="B2902" t="s">
        <v>1852</v>
      </c>
      <c r="C2902" t="s">
        <v>92</v>
      </c>
      <c r="D2902" t="s">
        <v>64</v>
      </c>
      <c r="E2902" t="s">
        <v>1850</v>
      </c>
      <c r="F2902" s="13">
        <v>2</v>
      </c>
      <c r="G2902" s="14">
        <v>2155.63</v>
      </c>
      <c r="H2902" s="13">
        <v>112</v>
      </c>
      <c r="I2902" t="s">
        <v>76</v>
      </c>
    </row>
    <row r="2903" spans="1:9" x14ac:dyDescent="0.3">
      <c r="A2903">
        <v>3530</v>
      </c>
      <c r="B2903" t="s">
        <v>645</v>
      </c>
      <c r="C2903" t="s">
        <v>137</v>
      </c>
      <c r="D2903" t="s">
        <v>64</v>
      </c>
      <c r="E2903" t="s">
        <v>1850</v>
      </c>
      <c r="F2903" s="13">
        <v>2</v>
      </c>
      <c r="G2903" s="14">
        <v>1025.83</v>
      </c>
      <c r="H2903" s="13">
        <v>112</v>
      </c>
      <c r="I2903" t="s">
        <v>76</v>
      </c>
    </row>
    <row r="2904" spans="1:9" x14ac:dyDescent="0.3">
      <c r="A2904">
        <v>3839</v>
      </c>
      <c r="B2904" t="s">
        <v>1853</v>
      </c>
      <c r="C2904" t="s">
        <v>156</v>
      </c>
      <c r="D2904" t="s">
        <v>68</v>
      </c>
      <c r="E2904" t="s">
        <v>1850</v>
      </c>
      <c r="F2904" s="13">
        <v>5</v>
      </c>
      <c r="G2904" s="14">
        <v>13521.98</v>
      </c>
      <c r="H2904" s="13">
        <v>112</v>
      </c>
      <c r="I2904" t="s">
        <v>76</v>
      </c>
    </row>
    <row r="2905" spans="1:9" x14ac:dyDescent="0.3">
      <c r="A2905">
        <v>4517</v>
      </c>
      <c r="B2905" t="s">
        <v>1854</v>
      </c>
      <c r="C2905" t="s">
        <v>133</v>
      </c>
      <c r="D2905" t="s">
        <v>64</v>
      </c>
      <c r="E2905" t="s">
        <v>1850</v>
      </c>
      <c r="F2905" s="13">
        <v>1</v>
      </c>
      <c r="G2905" s="14">
        <v>1523.12</v>
      </c>
      <c r="H2905" s="13">
        <v>112</v>
      </c>
      <c r="I2905" t="s">
        <v>76</v>
      </c>
    </row>
    <row r="2906" spans="1:9" x14ac:dyDescent="0.3">
      <c r="A2906">
        <v>4694</v>
      </c>
      <c r="B2906" t="s">
        <v>1605</v>
      </c>
      <c r="C2906" t="s">
        <v>103</v>
      </c>
      <c r="D2906" t="s">
        <v>67</v>
      </c>
      <c r="E2906" t="s">
        <v>1850</v>
      </c>
      <c r="F2906" s="13">
        <v>1</v>
      </c>
      <c r="G2906" s="14">
        <v>663.24</v>
      </c>
      <c r="H2906" s="13">
        <v>112</v>
      </c>
      <c r="I2906" t="s">
        <v>76</v>
      </c>
    </row>
    <row r="2907" spans="1:9" x14ac:dyDescent="0.3">
      <c r="A2907">
        <v>4702</v>
      </c>
      <c r="B2907" t="s">
        <v>94</v>
      </c>
      <c r="C2907" t="s">
        <v>90</v>
      </c>
      <c r="D2907" t="s">
        <v>66</v>
      </c>
      <c r="E2907" t="s">
        <v>1850</v>
      </c>
      <c r="F2907" s="13">
        <v>2</v>
      </c>
      <c r="G2907" s="14">
        <v>16435.93</v>
      </c>
      <c r="H2907" s="13">
        <v>112</v>
      </c>
      <c r="I2907" t="s">
        <v>76</v>
      </c>
    </row>
    <row r="2908" spans="1:9" x14ac:dyDescent="0.3">
      <c r="A2908">
        <v>5548</v>
      </c>
      <c r="B2908" t="s">
        <v>737</v>
      </c>
      <c r="C2908" t="s">
        <v>92</v>
      </c>
      <c r="D2908" t="s">
        <v>64</v>
      </c>
      <c r="E2908" t="s">
        <v>1850</v>
      </c>
      <c r="F2908" s="13">
        <v>4</v>
      </c>
      <c r="G2908" s="14">
        <v>7842.31</v>
      </c>
      <c r="H2908" s="13">
        <v>112</v>
      </c>
      <c r="I2908" t="s">
        <v>76</v>
      </c>
    </row>
    <row r="2909" spans="1:9" x14ac:dyDescent="0.3">
      <c r="A2909">
        <v>5694</v>
      </c>
      <c r="B2909" t="s">
        <v>178</v>
      </c>
      <c r="C2909" t="s">
        <v>133</v>
      </c>
      <c r="D2909" t="s">
        <v>64</v>
      </c>
      <c r="E2909" t="s">
        <v>1850</v>
      </c>
      <c r="F2909" s="13">
        <v>2</v>
      </c>
      <c r="G2909" s="14">
        <v>7105.58</v>
      </c>
      <c r="H2909" s="13">
        <v>112</v>
      </c>
      <c r="I2909" t="s">
        <v>76</v>
      </c>
    </row>
    <row r="2910" spans="1:9" x14ac:dyDescent="0.3">
      <c r="A2910">
        <v>5953</v>
      </c>
      <c r="B2910" t="s">
        <v>1855</v>
      </c>
      <c r="C2910" t="s">
        <v>90</v>
      </c>
      <c r="D2910" t="s">
        <v>66</v>
      </c>
      <c r="E2910" t="s">
        <v>1850</v>
      </c>
      <c r="F2910" s="13">
        <v>3</v>
      </c>
      <c r="G2910" s="14">
        <v>7202.65</v>
      </c>
      <c r="H2910" s="13">
        <v>112</v>
      </c>
      <c r="I2910" t="s">
        <v>76</v>
      </c>
    </row>
    <row r="2911" spans="1:9" x14ac:dyDescent="0.3">
      <c r="A2911">
        <v>6403</v>
      </c>
      <c r="B2911" t="s">
        <v>274</v>
      </c>
      <c r="C2911" t="s">
        <v>137</v>
      </c>
      <c r="D2911" t="s">
        <v>64</v>
      </c>
      <c r="E2911" t="s">
        <v>1850</v>
      </c>
      <c r="F2911" s="13">
        <v>3</v>
      </c>
      <c r="G2911" s="14">
        <v>1949.43</v>
      </c>
      <c r="H2911" s="13">
        <v>112</v>
      </c>
      <c r="I2911" t="s">
        <v>76</v>
      </c>
    </row>
    <row r="2912" spans="1:9" x14ac:dyDescent="0.3">
      <c r="A2912">
        <v>6751</v>
      </c>
      <c r="B2912" t="s">
        <v>277</v>
      </c>
      <c r="C2912" t="s">
        <v>92</v>
      </c>
      <c r="D2912" t="s">
        <v>64</v>
      </c>
      <c r="E2912" t="s">
        <v>1850</v>
      </c>
      <c r="F2912" s="13">
        <v>2</v>
      </c>
      <c r="G2912" s="14">
        <v>363.33</v>
      </c>
      <c r="H2912" s="13">
        <v>112</v>
      </c>
      <c r="I2912" t="s">
        <v>76</v>
      </c>
    </row>
    <row r="2913" spans="1:9" x14ac:dyDescent="0.3">
      <c r="A2913">
        <v>6867</v>
      </c>
      <c r="B2913" t="s">
        <v>668</v>
      </c>
      <c r="C2913" t="s">
        <v>123</v>
      </c>
      <c r="D2913" t="s">
        <v>65</v>
      </c>
      <c r="E2913" t="s">
        <v>1850</v>
      </c>
      <c r="F2913" s="13">
        <v>2</v>
      </c>
      <c r="G2913" s="14">
        <v>1768.69</v>
      </c>
      <c r="H2913" s="13">
        <v>112</v>
      </c>
      <c r="I2913" t="s">
        <v>76</v>
      </c>
    </row>
    <row r="2914" spans="1:9" x14ac:dyDescent="0.3">
      <c r="A2914">
        <v>7859</v>
      </c>
      <c r="B2914" t="s">
        <v>534</v>
      </c>
      <c r="C2914" t="s">
        <v>92</v>
      </c>
      <c r="D2914" t="s">
        <v>64</v>
      </c>
      <c r="E2914" t="s">
        <v>1850</v>
      </c>
      <c r="F2914" s="13">
        <v>5</v>
      </c>
      <c r="G2914" s="14">
        <v>11856.56</v>
      </c>
      <c r="H2914" s="13">
        <v>112</v>
      </c>
      <c r="I2914" t="s">
        <v>76</v>
      </c>
    </row>
    <row r="2915" spans="1:9" x14ac:dyDescent="0.3">
      <c r="A2915">
        <v>8716</v>
      </c>
      <c r="B2915" t="s">
        <v>1856</v>
      </c>
      <c r="C2915" t="s">
        <v>95</v>
      </c>
      <c r="D2915" t="s">
        <v>65</v>
      </c>
      <c r="E2915" t="s">
        <v>1850</v>
      </c>
      <c r="F2915" s="13">
        <v>8</v>
      </c>
      <c r="G2915" s="14">
        <v>15904.6</v>
      </c>
      <c r="H2915" s="13">
        <v>112</v>
      </c>
      <c r="I2915" t="s">
        <v>76</v>
      </c>
    </row>
    <row r="2916" spans="1:9" x14ac:dyDescent="0.3">
      <c r="A2916">
        <v>8737</v>
      </c>
      <c r="B2916" t="s">
        <v>1857</v>
      </c>
      <c r="C2916" t="s">
        <v>97</v>
      </c>
      <c r="D2916" t="s">
        <v>65</v>
      </c>
      <c r="E2916" t="s">
        <v>1850</v>
      </c>
      <c r="F2916" s="13">
        <v>1</v>
      </c>
      <c r="G2916" s="14">
        <v>235.3</v>
      </c>
      <c r="H2916" s="13">
        <v>112</v>
      </c>
      <c r="I2916" t="s">
        <v>76</v>
      </c>
    </row>
    <row r="2917" spans="1:9" x14ac:dyDescent="0.3">
      <c r="A2917">
        <v>418</v>
      </c>
      <c r="B2917" t="s">
        <v>1858</v>
      </c>
      <c r="C2917" t="s">
        <v>114</v>
      </c>
      <c r="D2917" t="s">
        <v>66</v>
      </c>
      <c r="E2917" t="s">
        <v>1859</v>
      </c>
      <c r="F2917" s="13">
        <v>6</v>
      </c>
      <c r="G2917" s="14">
        <v>18541.86</v>
      </c>
      <c r="H2917" s="13">
        <v>111</v>
      </c>
      <c r="I2917" t="s">
        <v>76</v>
      </c>
    </row>
    <row r="2918" spans="1:9" x14ac:dyDescent="0.3">
      <c r="A2918">
        <v>1626</v>
      </c>
      <c r="B2918" t="s">
        <v>1141</v>
      </c>
      <c r="C2918" t="s">
        <v>114</v>
      </c>
      <c r="D2918" t="s">
        <v>66</v>
      </c>
      <c r="E2918" t="s">
        <v>1859</v>
      </c>
      <c r="F2918" s="13">
        <v>1</v>
      </c>
      <c r="G2918" s="14">
        <v>328.16</v>
      </c>
      <c r="H2918" s="13">
        <v>111</v>
      </c>
      <c r="I2918" t="s">
        <v>76</v>
      </c>
    </row>
    <row r="2919" spans="1:9" x14ac:dyDescent="0.3">
      <c r="A2919">
        <v>1671</v>
      </c>
      <c r="B2919" t="s">
        <v>668</v>
      </c>
      <c r="C2919" t="s">
        <v>92</v>
      </c>
      <c r="D2919" t="s">
        <v>64</v>
      </c>
      <c r="E2919" t="s">
        <v>1859</v>
      </c>
      <c r="F2919" s="13">
        <v>2</v>
      </c>
      <c r="G2919" s="14">
        <v>1477.67</v>
      </c>
      <c r="H2919" s="13">
        <v>111</v>
      </c>
      <c r="I2919" t="s">
        <v>76</v>
      </c>
    </row>
    <row r="2920" spans="1:9" x14ac:dyDescent="0.3">
      <c r="A2920">
        <v>2170</v>
      </c>
      <c r="B2920" t="s">
        <v>606</v>
      </c>
      <c r="C2920" t="s">
        <v>133</v>
      </c>
      <c r="D2920" t="s">
        <v>64</v>
      </c>
      <c r="E2920" t="s">
        <v>1859</v>
      </c>
      <c r="F2920" s="13">
        <v>3</v>
      </c>
      <c r="G2920" s="14">
        <v>4497.2700000000004</v>
      </c>
      <c r="H2920" s="13">
        <v>111</v>
      </c>
      <c r="I2920" t="s">
        <v>76</v>
      </c>
    </row>
    <row r="2921" spans="1:9" x14ac:dyDescent="0.3">
      <c r="A2921">
        <v>2251</v>
      </c>
      <c r="B2921" t="s">
        <v>1860</v>
      </c>
      <c r="C2921" t="s">
        <v>92</v>
      </c>
      <c r="D2921" t="s">
        <v>64</v>
      </c>
      <c r="E2921" t="s">
        <v>1859</v>
      </c>
      <c r="F2921" s="13">
        <v>2</v>
      </c>
      <c r="G2921" s="14">
        <v>4257.4399999999996</v>
      </c>
      <c r="H2921" s="13">
        <v>111</v>
      </c>
      <c r="I2921" t="s">
        <v>76</v>
      </c>
    </row>
    <row r="2922" spans="1:9" x14ac:dyDescent="0.3">
      <c r="A2922">
        <v>2280</v>
      </c>
      <c r="B2922" t="s">
        <v>400</v>
      </c>
      <c r="C2922" t="s">
        <v>133</v>
      </c>
      <c r="D2922" t="s">
        <v>64</v>
      </c>
      <c r="E2922" t="s">
        <v>1859</v>
      </c>
      <c r="F2922" s="13">
        <v>2</v>
      </c>
      <c r="G2922" s="14">
        <v>922.02</v>
      </c>
      <c r="H2922" s="13">
        <v>111</v>
      </c>
      <c r="I2922" t="s">
        <v>76</v>
      </c>
    </row>
    <row r="2923" spans="1:9" x14ac:dyDescent="0.3">
      <c r="A2923">
        <v>2577</v>
      </c>
      <c r="B2923" t="s">
        <v>668</v>
      </c>
      <c r="C2923" t="s">
        <v>95</v>
      </c>
      <c r="D2923" t="s">
        <v>65</v>
      </c>
      <c r="E2923" t="s">
        <v>1859</v>
      </c>
      <c r="F2923" s="13">
        <v>1</v>
      </c>
      <c r="G2923" s="14">
        <v>2680.69</v>
      </c>
      <c r="H2923" s="13">
        <v>111</v>
      </c>
      <c r="I2923" t="s">
        <v>76</v>
      </c>
    </row>
    <row r="2924" spans="1:9" x14ac:dyDescent="0.3">
      <c r="A2924">
        <v>2708</v>
      </c>
      <c r="B2924" t="s">
        <v>1419</v>
      </c>
      <c r="C2924" t="s">
        <v>133</v>
      </c>
      <c r="D2924" t="s">
        <v>64</v>
      </c>
      <c r="E2924" t="s">
        <v>1859</v>
      </c>
      <c r="F2924" s="13">
        <v>1</v>
      </c>
      <c r="G2924" s="14">
        <v>309.07</v>
      </c>
      <c r="H2924" s="13">
        <v>111</v>
      </c>
      <c r="I2924" t="s">
        <v>76</v>
      </c>
    </row>
    <row r="2925" spans="1:9" x14ac:dyDescent="0.3">
      <c r="A2925">
        <v>3199</v>
      </c>
      <c r="B2925" t="s">
        <v>527</v>
      </c>
      <c r="C2925" t="s">
        <v>95</v>
      </c>
      <c r="D2925" t="s">
        <v>65</v>
      </c>
      <c r="E2925" t="s">
        <v>1859</v>
      </c>
      <c r="F2925" s="13">
        <v>2</v>
      </c>
      <c r="G2925" s="14">
        <v>455.44</v>
      </c>
      <c r="H2925" s="13">
        <v>111</v>
      </c>
      <c r="I2925" t="s">
        <v>76</v>
      </c>
    </row>
    <row r="2926" spans="1:9" x14ac:dyDescent="0.3">
      <c r="A2926">
        <v>3701</v>
      </c>
      <c r="B2926" t="s">
        <v>448</v>
      </c>
      <c r="C2926" t="s">
        <v>92</v>
      </c>
      <c r="D2926" t="s">
        <v>64</v>
      </c>
      <c r="E2926" t="s">
        <v>1859</v>
      </c>
      <c r="F2926" s="13">
        <v>3</v>
      </c>
      <c r="G2926" s="14">
        <v>7688.12</v>
      </c>
      <c r="H2926" s="13">
        <v>111</v>
      </c>
      <c r="I2926" t="s">
        <v>76</v>
      </c>
    </row>
    <row r="2927" spans="1:9" x14ac:dyDescent="0.3">
      <c r="A2927">
        <v>4618</v>
      </c>
      <c r="B2927" t="s">
        <v>423</v>
      </c>
      <c r="C2927" t="s">
        <v>100</v>
      </c>
      <c r="D2927" t="s">
        <v>66</v>
      </c>
      <c r="E2927" t="s">
        <v>1859</v>
      </c>
      <c r="F2927" s="13">
        <v>2</v>
      </c>
      <c r="G2927" s="14">
        <v>2485.4</v>
      </c>
      <c r="H2927" s="13">
        <v>111</v>
      </c>
      <c r="I2927" t="s">
        <v>76</v>
      </c>
    </row>
    <row r="2928" spans="1:9" x14ac:dyDescent="0.3">
      <c r="A2928">
        <v>5041</v>
      </c>
      <c r="B2928" t="s">
        <v>514</v>
      </c>
      <c r="C2928" t="s">
        <v>137</v>
      </c>
      <c r="D2928" t="s">
        <v>64</v>
      </c>
      <c r="E2928" t="s">
        <v>1859</v>
      </c>
      <c r="F2928" s="13">
        <v>2</v>
      </c>
      <c r="G2928" s="14">
        <v>3021.52</v>
      </c>
      <c r="H2928" s="13">
        <v>111</v>
      </c>
      <c r="I2928" t="s">
        <v>76</v>
      </c>
    </row>
    <row r="2929" spans="1:9" x14ac:dyDescent="0.3">
      <c r="A2929">
        <v>6151</v>
      </c>
      <c r="B2929" t="s">
        <v>109</v>
      </c>
      <c r="C2929" t="s">
        <v>103</v>
      </c>
      <c r="D2929" t="s">
        <v>67</v>
      </c>
      <c r="E2929" t="s">
        <v>1859</v>
      </c>
      <c r="F2929" s="13">
        <v>5</v>
      </c>
      <c r="G2929" s="14">
        <v>9672.7800000000007</v>
      </c>
      <c r="H2929" s="13">
        <v>111</v>
      </c>
      <c r="I2929" t="s">
        <v>76</v>
      </c>
    </row>
    <row r="2930" spans="1:9" x14ac:dyDescent="0.3">
      <c r="A2930">
        <v>6243</v>
      </c>
      <c r="B2930" t="s">
        <v>202</v>
      </c>
      <c r="C2930" t="s">
        <v>90</v>
      </c>
      <c r="D2930" t="s">
        <v>66</v>
      </c>
      <c r="E2930" t="s">
        <v>1859</v>
      </c>
      <c r="F2930" s="13">
        <v>2</v>
      </c>
      <c r="G2930" s="14">
        <v>5512.97</v>
      </c>
      <c r="H2930" s="13">
        <v>111</v>
      </c>
      <c r="I2930" t="s">
        <v>76</v>
      </c>
    </row>
    <row r="2931" spans="1:9" x14ac:dyDescent="0.3">
      <c r="A2931">
        <v>7449</v>
      </c>
      <c r="B2931" t="s">
        <v>1861</v>
      </c>
      <c r="C2931" t="s">
        <v>95</v>
      </c>
      <c r="D2931" t="s">
        <v>65</v>
      </c>
      <c r="E2931" t="s">
        <v>1859</v>
      </c>
      <c r="F2931" s="13">
        <v>2</v>
      </c>
      <c r="G2931" s="14">
        <v>1353.26</v>
      </c>
      <c r="H2931" s="13">
        <v>111</v>
      </c>
      <c r="I2931" t="s">
        <v>76</v>
      </c>
    </row>
    <row r="2932" spans="1:9" x14ac:dyDescent="0.3">
      <c r="A2932">
        <v>7479</v>
      </c>
      <c r="B2932" t="s">
        <v>735</v>
      </c>
      <c r="C2932" t="s">
        <v>92</v>
      </c>
      <c r="D2932" t="s">
        <v>64</v>
      </c>
      <c r="E2932" t="s">
        <v>1859</v>
      </c>
      <c r="F2932" s="13">
        <v>1</v>
      </c>
      <c r="G2932" s="14">
        <v>1513.52</v>
      </c>
      <c r="H2932" s="13">
        <v>111</v>
      </c>
      <c r="I2932" t="s">
        <v>76</v>
      </c>
    </row>
    <row r="2933" spans="1:9" x14ac:dyDescent="0.3">
      <c r="A2933">
        <v>8074</v>
      </c>
      <c r="B2933" t="s">
        <v>426</v>
      </c>
      <c r="C2933" t="s">
        <v>92</v>
      </c>
      <c r="D2933" t="s">
        <v>64</v>
      </c>
      <c r="E2933" t="s">
        <v>1859</v>
      </c>
      <c r="F2933" s="13">
        <v>1</v>
      </c>
      <c r="G2933" s="14">
        <v>358.48</v>
      </c>
      <c r="H2933" s="13">
        <v>111</v>
      </c>
      <c r="I2933" t="s">
        <v>76</v>
      </c>
    </row>
    <row r="2934" spans="1:9" x14ac:dyDescent="0.3">
      <c r="A2934">
        <v>8644</v>
      </c>
      <c r="B2934" t="s">
        <v>297</v>
      </c>
      <c r="C2934" t="s">
        <v>95</v>
      </c>
      <c r="D2934" t="s">
        <v>65</v>
      </c>
      <c r="E2934" t="s">
        <v>1859</v>
      </c>
      <c r="F2934" s="13">
        <v>3</v>
      </c>
      <c r="G2934" s="14">
        <v>4392.8100000000004</v>
      </c>
      <c r="H2934" s="13">
        <v>111</v>
      </c>
      <c r="I2934" t="s">
        <v>76</v>
      </c>
    </row>
    <row r="2935" spans="1:9" x14ac:dyDescent="0.3">
      <c r="A2935">
        <v>315</v>
      </c>
      <c r="B2935" t="s">
        <v>297</v>
      </c>
      <c r="C2935" t="s">
        <v>114</v>
      </c>
      <c r="D2935" t="s">
        <v>66</v>
      </c>
      <c r="E2935" t="s">
        <v>1862</v>
      </c>
      <c r="F2935" s="13">
        <v>2</v>
      </c>
      <c r="G2935" s="14">
        <v>4762.01</v>
      </c>
      <c r="H2935" s="13">
        <v>110</v>
      </c>
      <c r="I2935" t="s">
        <v>76</v>
      </c>
    </row>
    <row r="2936" spans="1:9" x14ac:dyDescent="0.3">
      <c r="A2936">
        <v>486</v>
      </c>
      <c r="B2936" t="s">
        <v>120</v>
      </c>
      <c r="C2936" t="s">
        <v>137</v>
      </c>
      <c r="D2936" t="s">
        <v>64</v>
      </c>
      <c r="E2936" t="s">
        <v>1862</v>
      </c>
      <c r="F2936" s="13">
        <v>2</v>
      </c>
      <c r="G2936" s="14">
        <v>3593.03</v>
      </c>
      <c r="H2936" s="13">
        <v>110</v>
      </c>
      <c r="I2936" t="s">
        <v>76</v>
      </c>
    </row>
    <row r="2937" spans="1:9" x14ac:dyDescent="0.3">
      <c r="A2937">
        <v>642</v>
      </c>
      <c r="B2937" t="s">
        <v>237</v>
      </c>
      <c r="C2937" t="s">
        <v>121</v>
      </c>
      <c r="D2937" t="s">
        <v>67</v>
      </c>
      <c r="E2937" t="s">
        <v>1862</v>
      </c>
      <c r="F2937" s="13">
        <v>3</v>
      </c>
      <c r="G2937" s="14">
        <v>6050.17</v>
      </c>
      <c r="H2937" s="13">
        <v>110</v>
      </c>
      <c r="I2937" t="s">
        <v>76</v>
      </c>
    </row>
    <row r="2938" spans="1:9" x14ac:dyDescent="0.3">
      <c r="A2938">
        <v>712</v>
      </c>
      <c r="B2938" t="s">
        <v>760</v>
      </c>
      <c r="C2938" t="s">
        <v>133</v>
      </c>
      <c r="D2938" t="s">
        <v>64</v>
      </c>
      <c r="E2938" t="s">
        <v>1862</v>
      </c>
      <c r="F2938" s="13">
        <v>2</v>
      </c>
      <c r="G2938" s="14">
        <v>3575</v>
      </c>
      <c r="H2938" s="13">
        <v>110</v>
      </c>
      <c r="I2938" t="s">
        <v>76</v>
      </c>
    </row>
    <row r="2939" spans="1:9" x14ac:dyDescent="0.3">
      <c r="A2939">
        <v>826</v>
      </c>
      <c r="B2939" t="s">
        <v>936</v>
      </c>
      <c r="C2939" t="s">
        <v>123</v>
      </c>
      <c r="D2939" t="s">
        <v>65</v>
      </c>
      <c r="E2939" t="s">
        <v>1862</v>
      </c>
      <c r="F2939" s="13">
        <v>1</v>
      </c>
      <c r="G2939" s="14">
        <v>239.04</v>
      </c>
      <c r="H2939" s="13">
        <v>110</v>
      </c>
      <c r="I2939" t="s">
        <v>76</v>
      </c>
    </row>
    <row r="2940" spans="1:9" x14ac:dyDescent="0.3">
      <c r="A2940">
        <v>985</v>
      </c>
      <c r="B2940" t="s">
        <v>414</v>
      </c>
      <c r="C2940" t="s">
        <v>87</v>
      </c>
      <c r="D2940" t="s">
        <v>64</v>
      </c>
      <c r="E2940" t="s">
        <v>1862</v>
      </c>
      <c r="F2940" s="13">
        <v>3</v>
      </c>
      <c r="G2940" s="14">
        <v>6821.51</v>
      </c>
      <c r="H2940" s="13">
        <v>110</v>
      </c>
      <c r="I2940" t="s">
        <v>76</v>
      </c>
    </row>
    <row r="2941" spans="1:9" x14ac:dyDescent="0.3">
      <c r="A2941">
        <v>1416</v>
      </c>
      <c r="B2941" t="s">
        <v>135</v>
      </c>
      <c r="C2941" t="s">
        <v>123</v>
      </c>
      <c r="D2941" t="s">
        <v>65</v>
      </c>
      <c r="E2941" t="s">
        <v>1862</v>
      </c>
      <c r="F2941" s="13">
        <v>1</v>
      </c>
      <c r="G2941" s="14">
        <v>225.85</v>
      </c>
      <c r="H2941" s="13">
        <v>110</v>
      </c>
      <c r="I2941" t="s">
        <v>76</v>
      </c>
    </row>
    <row r="2942" spans="1:9" x14ac:dyDescent="0.3">
      <c r="A2942">
        <v>1673</v>
      </c>
      <c r="B2942" t="s">
        <v>237</v>
      </c>
      <c r="C2942" t="s">
        <v>123</v>
      </c>
      <c r="D2942" t="s">
        <v>65</v>
      </c>
      <c r="E2942" t="s">
        <v>1862</v>
      </c>
      <c r="F2942" s="13">
        <v>4</v>
      </c>
      <c r="G2942" s="14">
        <v>7701.45</v>
      </c>
      <c r="H2942" s="13">
        <v>110</v>
      </c>
      <c r="I2942" t="s">
        <v>76</v>
      </c>
    </row>
    <row r="2943" spans="1:9" x14ac:dyDescent="0.3">
      <c r="A2943">
        <v>2031</v>
      </c>
      <c r="B2943" t="s">
        <v>527</v>
      </c>
      <c r="C2943" t="s">
        <v>133</v>
      </c>
      <c r="D2943" t="s">
        <v>64</v>
      </c>
      <c r="E2943" t="s">
        <v>1862</v>
      </c>
      <c r="F2943" s="13">
        <v>1</v>
      </c>
      <c r="G2943" s="14">
        <v>2347.34</v>
      </c>
      <c r="H2943" s="13">
        <v>110</v>
      </c>
      <c r="I2943" t="s">
        <v>76</v>
      </c>
    </row>
    <row r="2944" spans="1:9" x14ac:dyDescent="0.3">
      <c r="A2944">
        <v>2442</v>
      </c>
      <c r="B2944" t="s">
        <v>1863</v>
      </c>
      <c r="C2944" t="s">
        <v>123</v>
      </c>
      <c r="D2944" t="s">
        <v>65</v>
      </c>
      <c r="E2944" t="s">
        <v>1862</v>
      </c>
      <c r="F2944" s="13">
        <v>2</v>
      </c>
      <c r="G2944" s="14">
        <v>9511.1200000000008</v>
      </c>
      <c r="H2944" s="13">
        <v>110</v>
      </c>
      <c r="I2944" t="s">
        <v>76</v>
      </c>
    </row>
    <row r="2945" spans="1:9" x14ac:dyDescent="0.3">
      <c r="A2945">
        <v>3714</v>
      </c>
      <c r="B2945" t="s">
        <v>1677</v>
      </c>
      <c r="C2945" t="s">
        <v>121</v>
      </c>
      <c r="D2945" t="s">
        <v>67</v>
      </c>
      <c r="E2945" t="s">
        <v>1862</v>
      </c>
      <c r="F2945" s="13">
        <v>3</v>
      </c>
      <c r="G2945" s="14">
        <v>1297.51</v>
      </c>
      <c r="H2945" s="13">
        <v>110</v>
      </c>
      <c r="I2945" t="s">
        <v>76</v>
      </c>
    </row>
    <row r="2946" spans="1:9" x14ac:dyDescent="0.3">
      <c r="A2946">
        <v>4074</v>
      </c>
      <c r="B2946" t="s">
        <v>259</v>
      </c>
      <c r="C2946" t="s">
        <v>121</v>
      </c>
      <c r="D2946" t="s">
        <v>67</v>
      </c>
      <c r="E2946" t="s">
        <v>1862</v>
      </c>
      <c r="F2946" s="13">
        <v>4</v>
      </c>
      <c r="G2946" s="14">
        <v>6188.36</v>
      </c>
      <c r="H2946" s="13">
        <v>110</v>
      </c>
      <c r="I2946" t="s">
        <v>76</v>
      </c>
    </row>
    <row r="2947" spans="1:9" x14ac:dyDescent="0.3">
      <c r="A2947">
        <v>4270</v>
      </c>
      <c r="B2947" t="s">
        <v>149</v>
      </c>
      <c r="C2947" t="s">
        <v>90</v>
      </c>
      <c r="D2947" t="s">
        <v>66</v>
      </c>
      <c r="E2947" t="s">
        <v>1862</v>
      </c>
      <c r="F2947" s="13">
        <v>1</v>
      </c>
      <c r="G2947" s="14">
        <v>710.56</v>
      </c>
      <c r="H2947" s="13">
        <v>110</v>
      </c>
      <c r="I2947" t="s">
        <v>76</v>
      </c>
    </row>
    <row r="2948" spans="1:9" x14ac:dyDescent="0.3">
      <c r="A2948">
        <v>4571</v>
      </c>
      <c r="B2948" t="s">
        <v>717</v>
      </c>
      <c r="C2948" t="s">
        <v>133</v>
      </c>
      <c r="D2948" t="s">
        <v>64</v>
      </c>
      <c r="E2948" t="s">
        <v>1862</v>
      </c>
      <c r="F2948" s="13">
        <v>1</v>
      </c>
      <c r="G2948" s="14">
        <v>264.85000000000002</v>
      </c>
      <c r="H2948" s="13">
        <v>110</v>
      </c>
      <c r="I2948" t="s">
        <v>76</v>
      </c>
    </row>
    <row r="2949" spans="1:9" x14ac:dyDescent="0.3">
      <c r="A2949">
        <v>4799</v>
      </c>
      <c r="B2949" t="s">
        <v>646</v>
      </c>
      <c r="C2949" t="s">
        <v>97</v>
      </c>
      <c r="D2949" t="s">
        <v>65</v>
      </c>
      <c r="E2949" t="s">
        <v>1862</v>
      </c>
      <c r="F2949" s="13">
        <v>1</v>
      </c>
      <c r="G2949" s="14">
        <v>1656.56</v>
      </c>
      <c r="H2949" s="13">
        <v>110</v>
      </c>
      <c r="I2949" t="s">
        <v>76</v>
      </c>
    </row>
    <row r="2950" spans="1:9" x14ac:dyDescent="0.3">
      <c r="A2950">
        <v>5101</v>
      </c>
      <c r="B2950" t="s">
        <v>1864</v>
      </c>
      <c r="C2950" t="s">
        <v>103</v>
      </c>
      <c r="D2950" t="s">
        <v>67</v>
      </c>
      <c r="E2950" t="s">
        <v>1862</v>
      </c>
      <c r="F2950" s="13">
        <v>2</v>
      </c>
      <c r="G2950" s="14">
        <v>4497.4799999999996</v>
      </c>
      <c r="H2950" s="13">
        <v>110</v>
      </c>
      <c r="I2950" t="s">
        <v>76</v>
      </c>
    </row>
    <row r="2951" spans="1:9" x14ac:dyDescent="0.3">
      <c r="A2951">
        <v>5576</v>
      </c>
      <c r="B2951" t="s">
        <v>494</v>
      </c>
      <c r="C2951" t="s">
        <v>97</v>
      </c>
      <c r="D2951" t="s">
        <v>65</v>
      </c>
      <c r="E2951" t="s">
        <v>1862</v>
      </c>
      <c r="F2951" s="13">
        <v>3</v>
      </c>
      <c r="G2951" s="14">
        <v>5236.04</v>
      </c>
      <c r="H2951" s="13">
        <v>110</v>
      </c>
      <c r="I2951" t="s">
        <v>76</v>
      </c>
    </row>
    <row r="2952" spans="1:9" x14ac:dyDescent="0.3">
      <c r="A2952">
        <v>6015</v>
      </c>
      <c r="B2952" t="s">
        <v>142</v>
      </c>
      <c r="C2952" t="s">
        <v>137</v>
      </c>
      <c r="D2952" t="s">
        <v>64</v>
      </c>
      <c r="E2952" t="s">
        <v>1862</v>
      </c>
      <c r="F2952" s="13">
        <v>1</v>
      </c>
      <c r="G2952" s="14">
        <v>532.70000000000005</v>
      </c>
      <c r="H2952" s="13">
        <v>110</v>
      </c>
      <c r="I2952" t="s">
        <v>76</v>
      </c>
    </row>
    <row r="2953" spans="1:9" x14ac:dyDescent="0.3">
      <c r="A2953">
        <v>6624</v>
      </c>
      <c r="B2953" t="s">
        <v>1503</v>
      </c>
      <c r="C2953" t="s">
        <v>90</v>
      </c>
      <c r="D2953" t="s">
        <v>66</v>
      </c>
      <c r="E2953" t="s">
        <v>1862</v>
      </c>
      <c r="F2953" s="13">
        <v>2</v>
      </c>
      <c r="G2953" s="14">
        <v>895.04</v>
      </c>
      <c r="H2953" s="13">
        <v>110</v>
      </c>
      <c r="I2953" t="s">
        <v>76</v>
      </c>
    </row>
    <row r="2954" spans="1:9" x14ac:dyDescent="0.3">
      <c r="A2954">
        <v>6913</v>
      </c>
      <c r="B2954" t="s">
        <v>1865</v>
      </c>
      <c r="C2954" t="s">
        <v>473</v>
      </c>
      <c r="D2954" t="s">
        <v>68</v>
      </c>
      <c r="E2954" t="s">
        <v>1862</v>
      </c>
      <c r="F2954" s="13">
        <v>1</v>
      </c>
      <c r="G2954" s="14">
        <v>559.23</v>
      </c>
      <c r="H2954" s="13">
        <v>110</v>
      </c>
      <c r="I2954" t="s">
        <v>76</v>
      </c>
    </row>
    <row r="2955" spans="1:9" x14ac:dyDescent="0.3">
      <c r="A2955">
        <v>7161</v>
      </c>
      <c r="B2955" t="s">
        <v>825</v>
      </c>
      <c r="C2955" t="s">
        <v>137</v>
      </c>
      <c r="D2955" t="s">
        <v>64</v>
      </c>
      <c r="E2955" t="s">
        <v>1862</v>
      </c>
      <c r="F2955" s="13">
        <v>1</v>
      </c>
      <c r="G2955" s="14">
        <v>4397.1099999999997</v>
      </c>
      <c r="H2955" s="13">
        <v>110</v>
      </c>
      <c r="I2955" t="s">
        <v>76</v>
      </c>
    </row>
    <row r="2956" spans="1:9" x14ac:dyDescent="0.3">
      <c r="A2956">
        <v>7720</v>
      </c>
      <c r="B2956" t="s">
        <v>1141</v>
      </c>
      <c r="C2956" t="s">
        <v>87</v>
      </c>
      <c r="D2956" t="s">
        <v>64</v>
      </c>
      <c r="E2956" t="s">
        <v>1862</v>
      </c>
      <c r="F2956" s="13">
        <v>1</v>
      </c>
      <c r="G2956" s="14">
        <v>542.95000000000005</v>
      </c>
      <c r="H2956" s="13">
        <v>110</v>
      </c>
      <c r="I2956" t="s">
        <v>76</v>
      </c>
    </row>
    <row r="2957" spans="1:9" x14ac:dyDescent="0.3">
      <c r="A2957">
        <v>7927</v>
      </c>
      <c r="B2957" t="s">
        <v>342</v>
      </c>
      <c r="C2957" t="s">
        <v>92</v>
      </c>
      <c r="D2957" t="s">
        <v>64</v>
      </c>
      <c r="E2957" t="s">
        <v>1862</v>
      </c>
      <c r="F2957" s="13">
        <v>7</v>
      </c>
      <c r="G2957" s="14">
        <v>26082.32</v>
      </c>
      <c r="H2957" s="13">
        <v>110</v>
      </c>
      <c r="I2957" t="s">
        <v>76</v>
      </c>
    </row>
    <row r="2958" spans="1:9" x14ac:dyDescent="0.3">
      <c r="A2958">
        <v>7953</v>
      </c>
      <c r="B2958" t="s">
        <v>1866</v>
      </c>
      <c r="C2958" t="s">
        <v>92</v>
      </c>
      <c r="D2958" t="s">
        <v>64</v>
      </c>
      <c r="E2958" t="s">
        <v>1862</v>
      </c>
      <c r="F2958" s="13">
        <v>3</v>
      </c>
      <c r="G2958" s="14">
        <v>2098.35</v>
      </c>
      <c r="H2958" s="13">
        <v>110</v>
      </c>
      <c r="I2958" t="s">
        <v>76</v>
      </c>
    </row>
    <row r="2959" spans="1:9" x14ac:dyDescent="0.3">
      <c r="A2959">
        <v>8134</v>
      </c>
      <c r="B2959" t="s">
        <v>202</v>
      </c>
      <c r="C2959" t="s">
        <v>90</v>
      </c>
      <c r="D2959" t="s">
        <v>66</v>
      </c>
      <c r="E2959" t="s">
        <v>1862</v>
      </c>
      <c r="F2959" s="13">
        <v>1</v>
      </c>
      <c r="G2959" s="14">
        <v>665.41</v>
      </c>
      <c r="H2959" s="13">
        <v>110</v>
      </c>
      <c r="I2959" t="s">
        <v>76</v>
      </c>
    </row>
    <row r="2960" spans="1:9" x14ac:dyDescent="0.3">
      <c r="A2960">
        <v>8585</v>
      </c>
      <c r="B2960" t="s">
        <v>588</v>
      </c>
      <c r="C2960" t="s">
        <v>92</v>
      </c>
      <c r="D2960" t="s">
        <v>64</v>
      </c>
      <c r="E2960" t="s">
        <v>1862</v>
      </c>
      <c r="F2960" s="13">
        <v>3</v>
      </c>
      <c r="G2960" s="14">
        <v>2228.83</v>
      </c>
      <c r="H2960" s="13">
        <v>110</v>
      </c>
      <c r="I2960" t="s">
        <v>76</v>
      </c>
    </row>
    <row r="2961" spans="1:9" x14ac:dyDescent="0.3">
      <c r="A2961">
        <v>8606</v>
      </c>
      <c r="B2961" t="s">
        <v>169</v>
      </c>
      <c r="C2961" t="s">
        <v>92</v>
      </c>
      <c r="D2961" t="s">
        <v>64</v>
      </c>
      <c r="E2961" t="s">
        <v>1862</v>
      </c>
      <c r="F2961" s="13">
        <v>2</v>
      </c>
      <c r="G2961" s="14">
        <v>1499.33</v>
      </c>
      <c r="H2961" s="13">
        <v>110</v>
      </c>
      <c r="I2961" t="s">
        <v>76</v>
      </c>
    </row>
    <row r="2962" spans="1:9" x14ac:dyDescent="0.3">
      <c r="A2962">
        <v>163</v>
      </c>
      <c r="B2962" t="s">
        <v>1867</v>
      </c>
      <c r="C2962" t="s">
        <v>92</v>
      </c>
      <c r="D2962" t="s">
        <v>64</v>
      </c>
      <c r="E2962" t="s">
        <v>1868</v>
      </c>
      <c r="F2962" s="13">
        <v>1</v>
      </c>
      <c r="G2962" s="14">
        <v>1489.28</v>
      </c>
      <c r="H2962" s="13">
        <v>109</v>
      </c>
      <c r="I2962" t="s">
        <v>76</v>
      </c>
    </row>
    <row r="2963" spans="1:9" x14ac:dyDescent="0.3">
      <c r="A2963">
        <v>349</v>
      </c>
      <c r="B2963" t="s">
        <v>534</v>
      </c>
      <c r="C2963" t="s">
        <v>97</v>
      </c>
      <c r="D2963" t="s">
        <v>65</v>
      </c>
      <c r="E2963" t="s">
        <v>1868</v>
      </c>
      <c r="F2963" s="13">
        <v>2</v>
      </c>
      <c r="G2963" s="14">
        <v>3784.92</v>
      </c>
      <c r="H2963" s="13">
        <v>109</v>
      </c>
      <c r="I2963" t="s">
        <v>76</v>
      </c>
    </row>
    <row r="2964" spans="1:9" x14ac:dyDescent="0.3">
      <c r="A2964">
        <v>498</v>
      </c>
      <c r="B2964" t="s">
        <v>151</v>
      </c>
      <c r="C2964" t="s">
        <v>103</v>
      </c>
      <c r="D2964" t="s">
        <v>67</v>
      </c>
      <c r="E2964" t="s">
        <v>1868</v>
      </c>
      <c r="F2964" s="13">
        <v>2</v>
      </c>
      <c r="G2964" s="14">
        <v>4928.4399999999996</v>
      </c>
      <c r="H2964" s="13">
        <v>109</v>
      </c>
      <c r="I2964" t="s">
        <v>76</v>
      </c>
    </row>
    <row r="2965" spans="1:9" x14ac:dyDescent="0.3">
      <c r="A2965">
        <v>709</v>
      </c>
      <c r="B2965" t="s">
        <v>1869</v>
      </c>
      <c r="C2965" t="s">
        <v>92</v>
      </c>
      <c r="D2965" t="s">
        <v>64</v>
      </c>
      <c r="E2965" t="s">
        <v>1868</v>
      </c>
      <c r="F2965" s="13">
        <v>1</v>
      </c>
      <c r="G2965" s="14">
        <v>55.45</v>
      </c>
      <c r="H2965" s="13">
        <v>109</v>
      </c>
      <c r="I2965" t="s">
        <v>76</v>
      </c>
    </row>
    <row r="2966" spans="1:9" x14ac:dyDescent="0.3">
      <c r="A2966">
        <v>1377</v>
      </c>
      <c r="B2966" t="s">
        <v>205</v>
      </c>
      <c r="C2966" t="s">
        <v>95</v>
      </c>
      <c r="D2966" t="s">
        <v>65</v>
      </c>
      <c r="E2966" t="s">
        <v>1868</v>
      </c>
      <c r="F2966" s="13">
        <v>2</v>
      </c>
      <c r="G2966" s="14">
        <v>6836.04</v>
      </c>
      <c r="H2966" s="13">
        <v>109</v>
      </c>
      <c r="I2966" t="s">
        <v>76</v>
      </c>
    </row>
    <row r="2967" spans="1:9" x14ac:dyDescent="0.3">
      <c r="A2967">
        <v>1539</v>
      </c>
      <c r="B2967" t="s">
        <v>1870</v>
      </c>
      <c r="C2967" t="s">
        <v>92</v>
      </c>
      <c r="D2967" t="s">
        <v>64</v>
      </c>
      <c r="E2967" t="s">
        <v>1868</v>
      </c>
      <c r="F2967" s="13">
        <v>1</v>
      </c>
      <c r="G2967" s="14">
        <v>1065.6400000000001</v>
      </c>
      <c r="H2967" s="13">
        <v>109</v>
      </c>
      <c r="I2967" t="s">
        <v>76</v>
      </c>
    </row>
    <row r="2968" spans="1:9" x14ac:dyDescent="0.3">
      <c r="A2968">
        <v>2286</v>
      </c>
      <c r="B2968" t="s">
        <v>1137</v>
      </c>
      <c r="C2968" t="s">
        <v>92</v>
      </c>
      <c r="D2968" t="s">
        <v>64</v>
      </c>
      <c r="E2968" t="s">
        <v>1868</v>
      </c>
      <c r="F2968" s="13">
        <v>3</v>
      </c>
      <c r="G2968" s="14">
        <v>3618.55</v>
      </c>
      <c r="H2968" s="13">
        <v>109</v>
      </c>
      <c r="I2968" t="s">
        <v>76</v>
      </c>
    </row>
    <row r="2969" spans="1:9" x14ac:dyDescent="0.3">
      <c r="A2969">
        <v>2360</v>
      </c>
      <c r="B2969" t="s">
        <v>588</v>
      </c>
      <c r="C2969" t="s">
        <v>249</v>
      </c>
      <c r="D2969" t="s">
        <v>67</v>
      </c>
      <c r="E2969" t="s">
        <v>1868</v>
      </c>
      <c r="F2969" s="13">
        <v>2</v>
      </c>
      <c r="G2969" s="14">
        <v>5688.07</v>
      </c>
      <c r="H2969" s="13">
        <v>109</v>
      </c>
      <c r="I2969" t="s">
        <v>76</v>
      </c>
    </row>
    <row r="2970" spans="1:9" x14ac:dyDescent="0.3">
      <c r="A2970">
        <v>2554</v>
      </c>
      <c r="B2970" t="s">
        <v>191</v>
      </c>
      <c r="C2970" t="s">
        <v>92</v>
      </c>
      <c r="D2970" t="s">
        <v>64</v>
      </c>
      <c r="E2970" t="s">
        <v>1868</v>
      </c>
      <c r="F2970" s="13">
        <v>2</v>
      </c>
      <c r="G2970" s="14">
        <v>7330.93</v>
      </c>
      <c r="H2970" s="13">
        <v>109</v>
      </c>
      <c r="I2970" t="s">
        <v>76</v>
      </c>
    </row>
    <row r="2971" spans="1:9" x14ac:dyDescent="0.3">
      <c r="A2971">
        <v>2689</v>
      </c>
      <c r="B2971" t="s">
        <v>1800</v>
      </c>
      <c r="C2971" t="s">
        <v>97</v>
      </c>
      <c r="D2971" t="s">
        <v>65</v>
      </c>
      <c r="E2971" t="s">
        <v>1868</v>
      </c>
      <c r="F2971" s="13">
        <v>1</v>
      </c>
      <c r="G2971" s="14">
        <v>6190.9</v>
      </c>
      <c r="H2971" s="13">
        <v>109</v>
      </c>
      <c r="I2971" t="s">
        <v>76</v>
      </c>
    </row>
    <row r="2972" spans="1:9" x14ac:dyDescent="0.3">
      <c r="A2972">
        <v>2726</v>
      </c>
      <c r="B2972" t="s">
        <v>240</v>
      </c>
      <c r="C2972" t="s">
        <v>90</v>
      </c>
      <c r="D2972" t="s">
        <v>66</v>
      </c>
      <c r="E2972" t="s">
        <v>1868</v>
      </c>
      <c r="F2972" s="13">
        <v>3</v>
      </c>
      <c r="G2972" s="14">
        <v>9348.7000000000007</v>
      </c>
      <c r="H2972" s="13">
        <v>109</v>
      </c>
      <c r="I2972" t="s">
        <v>76</v>
      </c>
    </row>
    <row r="2973" spans="1:9" x14ac:dyDescent="0.3">
      <c r="A2973">
        <v>2791</v>
      </c>
      <c r="B2973" t="s">
        <v>1871</v>
      </c>
      <c r="C2973" t="s">
        <v>92</v>
      </c>
      <c r="D2973" t="s">
        <v>64</v>
      </c>
      <c r="E2973" t="s">
        <v>1868</v>
      </c>
      <c r="F2973" s="13">
        <v>1</v>
      </c>
      <c r="G2973" s="14">
        <v>153.59</v>
      </c>
      <c r="H2973" s="13">
        <v>109</v>
      </c>
      <c r="I2973" t="s">
        <v>76</v>
      </c>
    </row>
    <row r="2974" spans="1:9" x14ac:dyDescent="0.3">
      <c r="A2974">
        <v>3741</v>
      </c>
      <c r="B2974" t="s">
        <v>1316</v>
      </c>
      <c r="C2974" t="s">
        <v>133</v>
      </c>
      <c r="D2974" t="s">
        <v>64</v>
      </c>
      <c r="E2974" t="s">
        <v>1868</v>
      </c>
      <c r="F2974" s="13">
        <v>3</v>
      </c>
      <c r="G2974" s="14">
        <v>4806.1400000000003</v>
      </c>
      <c r="H2974" s="13">
        <v>109</v>
      </c>
      <c r="I2974" t="s">
        <v>76</v>
      </c>
    </row>
    <row r="2975" spans="1:9" x14ac:dyDescent="0.3">
      <c r="A2975">
        <v>3909</v>
      </c>
      <c r="B2975" t="s">
        <v>582</v>
      </c>
      <c r="C2975" t="s">
        <v>121</v>
      </c>
      <c r="D2975" t="s">
        <v>67</v>
      </c>
      <c r="E2975" t="s">
        <v>1868</v>
      </c>
      <c r="F2975" s="13">
        <v>8</v>
      </c>
      <c r="G2975" s="14">
        <v>13760.79</v>
      </c>
      <c r="H2975" s="13">
        <v>109</v>
      </c>
      <c r="I2975" t="s">
        <v>76</v>
      </c>
    </row>
    <row r="2976" spans="1:9" x14ac:dyDescent="0.3">
      <c r="A2976">
        <v>4282</v>
      </c>
      <c r="B2976" t="s">
        <v>1872</v>
      </c>
      <c r="C2976" t="s">
        <v>133</v>
      </c>
      <c r="D2976" t="s">
        <v>64</v>
      </c>
      <c r="E2976" t="s">
        <v>1868</v>
      </c>
      <c r="F2976" s="13">
        <v>1</v>
      </c>
      <c r="G2976" s="14">
        <v>1576.23</v>
      </c>
      <c r="H2976" s="13">
        <v>109</v>
      </c>
      <c r="I2976" t="s">
        <v>76</v>
      </c>
    </row>
    <row r="2977" spans="1:9" x14ac:dyDescent="0.3">
      <c r="A2977">
        <v>4434</v>
      </c>
      <c r="B2977" t="s">
        <v>1678</v>
      </c>
      <c r="C2977" t="s">
        <v>133</v>
      </c>
      <c r="D2977" t="s">
        <v>64</v>
      </c>
      <c r="E2977" t="s">
        <v>1868</v>
      </c>
      <c r="F2977" s="13">
        <v>3</v>
      </c>
      <c r="G2977" s="14">
        <v>4514.03</v>
      </c>
      <c r="H2977" s="13">
        <v>109</v>
      </c>
      <c r="I2977" t="s">
        <v>76</v>
      </c>
    </row>
    <row r="2978" spans="1:9" x14ac:dyDescent="0.3">
      <c r="A2978">
        <v>4665</v>
      </c>
      <c r="B2978" t="s">
        <v>543</v>
      </c>
      <c r="C2978" t="s">
        <v>249</v>
      </c>
      <c r="D2978" t="s">
        <v>67</v>
      </c>
      <c r="E2978" t="s">
        <v>1868</v>
      </c>
      <c r="F2978" s="13">
        <v>4</v>
      </c>
      <c r="G2978" s="14">
        <v>9401.34</v>
      </c>
      <c r="H2978" s="13">
        <v>109</v>
      </c>
      <c r="I2978" t="s">
        <v>76</v>
      </c>
    </row>
    <row r="2979" spans="1:9" x14ac:dyDescent="0.3">
      <c r="A2979">
        <v>4679</v>
      </c>
      <c r="B2979" t="s">
        <v>575</v>
      </c>
      <c r="C2979" t="s">
        <v>95</v>
      </c>
      <c r="D2979" t="s">
        <v>65</v>
      </c>
      <c r="E2979" t="s">
        <v>1868</v>
      </c>
      <c r="F2979" s="13">
        <v>3</v>
      </c>
      <c r="G2979" s="14">
        <v>3256.32</v>
      </c>
      <c r="H2979" s="13">
        <v>109</v>
      </c>
      <c r="I2979" t="s">
        <v>76</v>
      </c>
    </row>
    <row r="2980" spans="1:9" x14ac:dyDescent="0.3">
      <c r="A2980">
        <v>4720</v>
      </c>
      <c r="B2980" t="s">
        <v>1873</v>
      </c>
      <c r="C2980" t="s">
        <v>87</v>
      </c>
      <c r="D2980" t="s">
        <v>64</v>
      </c>
      <c r="E2980" t="s">
        <v>1868</v>
      </c>
      <c r="F2980" s="13">
        <v>1</v>
      </c>
      <c r="G2980" s="14">
        <v>4388.2</v>
      </c>
      <c r="H2980" s="13">
        <v>109</v>
      </c>
      <c r="I2980" t="s">
        <v>76</v>
      </c>
    </row>
    <row r="2981" spans="1:9" x14ac:dyDescent="0.3">
      <c r="A2981">
        <v>5258</v>
      </c>
      <c r="B2981" t="s">
        <v>382</v>
      </c>
      <c r="C2981" t="s">
        <v>137</v>
      </c>
      <c r="D2981" t="s">
        <v>64</v>
      </c>
      <c r="E2981" t="s">
        <v>1868</v>
      </c>
      <c r="F2981" s="13">
        <v>3</v>
      </c>
      <c r="G2981" s="14">
        <v>3106.39</v>
      </c>
      <c r="H2981" s="13">
        <v>109</v>
      </c>
      <c r="I2981" t="s">
        <v>76</v>
      </c>
    </row>
    <row r="2982" spans="1:9" x14ac:dyDescent="0.3">
      <c r="A2982">
        <v>5553</v>
      </c>
      <c r="B2982" t="s">
        <v>1874</v>
      </c>
      <c r="C2982" t="s">
        <v>92</v>
      </c>
      <c r="D2982" t="s">
        <v>64</v>
      </c>
      <c r="E2982" t="s">
        <v>1868</v>
      </c>
      <c r="F2982" s="13">
        <v>4</v>
      </c>
      <c r="G2982" s="14">
        <v>13868.35</v>
      </c>
      <c r="H2982" s="13">
        <v>109</v>
      </c>
      <c r="I2982" t="s">
        <v>76</v>
      </c>
    </row>
    <row r="2983" spans="1:9" x14ac:dyDescent="0.3">
      <c r="A2983">
        <v>5579</v>
      </c>
      <c r="B2983" t="s">
        <v>848</v>
      </c>
      <c r="C2983" t="s">
        <v>97</v>
      </c>
      <c r="D2983" t="s">
        <v>65</v>
      </c>
      <c r="E2983" t="s">
        <v>1868</v>
      </c>
      <c r="F2983" s="13">
        <v>2</v>
      </c>
      <c r="G2983" s="14">
        <v>3356.01</v>
      </c>
      <c r="H2983" s="13">
        <v>109</v>
      </c>
      <c r="I2983" t="s">
        <v>76</v>
      </c>
    </row>
    <row r="2984" spans="1:9" x14ac:dyDescent="0.3">
      <c r="A2984">
        <v>5639</v>
      </c>
      <c r="B2984" t="s">
        <v>130</v>
      </c>
      <c r="C2984" t="s">
        <v>92</v>
      </c>
      <c r="D2984" t="s">
        <v>64</v>
      </c>
      <c r="E2984" t="s">
        <v>1868</v>
      </c>
      <c r="F2984" s="13">
        <v>2</v>
      </c>
      <c r="G2984" s="14">
        <v>3795.58</v>
      </c>
      <c r="H2984" s="13">
        <v>109</v>
      </c>
      <c r="I2984" t="s">
        <v>76</v>
      </c>
    </row>
    <row r="2985" spans="1:9" x14ac:dyDescent="0.3">
      <c r="A2985">
        <v>5744</v>
      </c>
      <c r="B2985" t="s">
        <v>1875</v>
      </c>
      <c r="C2985" t="s">
        <v>92</v>
      </c>
      <c r="D2985" t="s">
        <v>64</v>
      </c>
      <c r="E2985" t="s">
        <v>1868</v>
      </c>
      <c r="F2985" s="13">
        <v>3</v>
      </c>
      <c r="G2985" s="14">
        <v>7333.52</v>
      </c>
      <c r="H2985" s="13">
        <v>109</v>
      </c>
      <c r="I2985" t="s">
        <v>76</v>
      </c>
    </row>
    <row r="2986" spans="1:9" x14ac:dyDescent="0.3">
      <c r="A2986">
        <v>5816</v>
      </c>
      <c r="B2986" t="s">
        <v>175</v>
      </c>
      <c r="C2986" t="s">
        <v>137</v>
      </c>
      <c r="D2986" t="s">
        <v>64</v>
      </c>
      <c r="E2986" t="s">
        <v>1868</v>
      </c>
      <c r="F2986" s="13">
        <v>1</v>
      </c>
      <c r="G2986" s="14">
        <v>567.04999999999995</v>
      </c>
      <c r="H2986" s="13">
        <v>109</v>
      </c>
      <c r="I2986" t="s">
        <v>76</v>
      </c>
    </row>
    <row r="2987" spans="1:9" x14ac:dyDescent="0.3">
      <c r="A2987">
        <v>7057</v>
      </c>
      <c r="B2987" t="s">
        <v>1783</v>
      </c>
      <c r="C2987" t="s">
        <v>133</v>
      </c>
      <c r="D2987" t="s">
        <v>64</v>
      </c>
      <c r="E2987" t="s">
        <v>1868</v>
      </c>
      <c r="F2987" s="13">
        <v>1</v>
      </c>
      <c r="G2987" s="14">
        <v>2855.84</v>
      </c>
      <c r="H2987" s="13">
        <v>109</v>
      </c>
      <c r="I2987" t="s">
        <v>76</v>
      </c>
    </row>
    <row r="2988" spans="1:9" x14ac:dyDescent="0.3">
      <c r="A2988">
        <v>7513</v>
      </c>
      <c r="B2988" t="s">
        <v>302</v>
      </c>
      <c r="C2988" t="s">
        <v>103</v>
      </c>
      <c r="D2988" t="s">
        <v>67</v>
      </c>
      <c r="E2988" t="s">
        <v>1868</v>
      </c>
      <c r="F2988" s="13">
        <v>2</v>
      </c>
      <c r="G2988" s="14">
        <v>2056.8200000000002</v>
      </c>
      <c r="H2988" s="13">
        <v>109</v>
      </c>
      <c r="I2988" t="s">
        <v>76</v>
      </c>
    </row>
    <row r="2989" spans="1:9" x14ac:dyDescent="0.3">
      <c r="A2989">
        <v>7921</v>
      </c>
      <c r="B2989" t="s">
        <v>321</v>
      </c>
      <c r="C2989" t="s">
        <v>137</v>
      </c>
      <c r="D2989" t="s">
        <v>64</v>
      </c>
      <c r="E2989" t="s">
        <v>1868</v>
      </c>
      <c r="F2989" s="13">
        <v>1</v>
      </c>
      <c r="G2989" s="14">
        <v>1942.49</v>
      </c>
      <c r="H2989" s="13">
        <v>109</v>
      </c>
      <c r="I2989" t="s">
        <v>76</v>
      </c>
    </row>
    <row r="2990" spans="1:9" x14ac:dyDescent="0.3">
      <c r="A2990">
        <v>8327</v>
      </c>
      <c r="B2990" t="s">
        <v>318</v>
      </c>
      <c r="C2990" t="s">
        <v>133</v>
      </c>
      <c r="D2990" t="s">
        <v>64</v>
      </c>
      <c r="E2990" t="s">
        <v>1868</v>
      </c>
      <c r="F2990" s="13">
        <v>4</v>
      </c>
      <c r="G2990" s="14">
        <v>2151.71</v>
      </c>
      <c r="H2990" s="13">
        <v>109</v>
      </c>
      <c r="I2990" t="s">
        <v>76</v>
      </c>
    </row>
    <row r="2991" spans="1:9" x14ac:dyDescent="0.3">
      <c r="A2991">
        <v>8398</v>
      </c>
      <c r="B2991" t="s">
        <v>1876</v>
      </c>
      <c r="C2991" t="s">
        <v>114</v>
      </c>
      <c r="D2991" t="s">
        <v>66</v>
      </c>
      <c r="E2991" t="s">
        <v>1868</v>
      </c>
      <c r="F2991" s="13">
        <v>1</v>
      </c>
      <c r="G2991" s="14">
        <v>367.78</v>
      </c>
      <c r="H2991" s="13">
        <v>109</v>
      </c>
      <c r="I2991" t="s">
        <v>76</v>
      </c>
    </row>
    <row r="2992" spans="1:9" x14ac:dyDescent="0.3">
      <c r="A2992">
        <v>8802</v>
      </c>
      <c r="B2992" t="s">
        <v>559</v>
      </c>
      <c r="C2992" t="s">
        <v>100</v>
      </c>
      <c r="D2992" t="s">
        <v>66</v>
      </c>
      <c r="E2992" t="s">
        <v>1868</v>
      </c>
      <c r="F2992" s="13">
        <v>5</v>
      </c>
      <c r="G2992" s="14">
        <v>7519.34</v>
      </c>
      <c r="H2992" s="13">
        <v>109</v>
      </c>
      <c r="I2992" t="s">
        <v>76</v>
      </c>
    </row>
    <row r="2993" spans="1:9" x14ac:dyDescent="0.3">
      <c r="A2993">
        <v>811</v>
      </c>
      <c r="B2993" t="s">
        <v>1877</v>
      </c>
      <c r="C2993" t="s">
        <v>123</v>
      </c>
      <c r="D2993" t="s">
        <v>65</v>
      </c>
      <c r="E2993" t="s">
        <v>1878</v>
      </c>
      <c r="F2993" s="13">
        <v>4</v>
      </c>
      <c r="G2993" s="14">
        <v>5622.79</v>
      </c>
      <c r="H2993" s="13">
        <v>108</v>
      </c>
      <c r="I2993" t="s">
        <v>76</v>
      </c>
    </row>
    <row r="2994" spans="1:9" x14ac:dyDescent="0.3">
      <c r="A2994">
        <v>1193</v>
      </c>
      <c r="B2994" t="s">
        <v>1879</v>
      </c>
      <c r="C2994" t="s">
        <v>103</v>
      </c>
      <c r="D2994" t="s">
        <v>67</v>
      </c>
      <c r="E2994" t="s">
        <v>1878</v>
      </c>
      <c r="F2994" s="13">
        <v>2</v>
      </c>
      <c r="G2994" s="14">
        <v>16940.12</v>
      </c>
      <c r="H2994" s="13">
        <v>108</v>
      </c>
      <c r="I2994" t="s">
        <v>76</v>
      </c>
    </row>
    <row r="2995" spans="1:9" x14ac:dyDescent="0.3">
      <c r="A2995">
        <v>1829</v>
      </c>
      <c r="B2995" t="s">
        <v>1880</v>
      </c>
      <c r="C2995" t="s">
        <v>92</v>
      </c>
      <c r="D2995" t="s">
        <v>64</v>
      </c>
      <c r="E2995" t="s">
        <v>1878</v>
      </c>
      <c r="F2995" s="13">
        <v>2</v>
      </c>
      <c r="G2995" s="14">
        <v>2890.94</v>
      </c>
      <c r="H2995" s="13">
        <v>108</v>
      </c>
      <c r="I2995" t="s">
        <v>76</v>
      </c>
    </row>
    <row r="2996" spans="1:9" x14ac:dyDescent="0.3">
      <c r="A2996">
        <v>2289</v>
      </c>
      <c r="B2996" t="s">
        <v>848</v>
      </c>
      <c r="C2996" t="s">
        <v>123</v>
      </c>
      <c r="D2996" t="s">
        <v>65</v>
      </c>
      <c r="E2996" t="s">
        <v>1878</v>
      </c>
      <c r="F2996" s="13">
        <v>4</v>
      </c>
      <c r="G2996" s="14">
        <v>5371.39</v>
      </c>
      <c r="H2996" s="13">
        <v>108</v>
      </c>
      <c r="I2996" t="s">
        <v>76</v>
      </c>
    </row>
    <row r="2997" spans="1:9" x14ac:dyDescent="0.3">
      <c r="A2997">
        <v>2803</v>
      </c>
      <c r="B2997" t="s">
        <v>191</v>
      </c>
      <c r="C2997" t="s">
        <v>100</v>
      </c>
      <c r="D2997" t="s">
        <v>66</v>
      </c>
      <c r="E2997" t="s">
        <v>1878</v>
      </c>
      <c r="F2997" s="13">
        <v>4</v>
      </c>
      <c r="G2997" s="14">
        <v>10446.68</v>
      </c>
      <c r="H2997" s="13">
        <v>108</v>
      </c>
      <c r="I2997" t="s">
        <v>76</v>
      </c>
    </row>
    <row r="2998" spans="1:9" x14ac:dyDescent="0.3">
      <c r="A2998">
        <v>2887</v>
      </c>
      <c r="B2998" t="s">
        <v>751</v>
      </c>
      <c r="C2998" t="s">
        <v>133</v>
      </c>
      <c r="D2998" t="s">
        <v>64</v>
      </c>
      <c r="E2998" t="s">
        <v>1878</v>
      </c>
      <c r="F2998" s="13">
        <v>1</v>
      </c>
      <c r="G2998" s="14">
        <v>1278.57</v>
      </c>
      <c r="H2998" s="13">
        <v>108</v>
      </c>
      <c r="I2998" t="s">
        <v>76</v>
      </c>
    </row>
    <row r="2999" spans="1:9" x14ac:dyDescent="0.3">
      <c r="A2999">
        <v>3185</v>
      </c>
      <c r="B2999" t="s">
        <v>663</v>
      </c>
      <c r="C2999" t="s">
        <v>114</v>
      </c>
      <c r="D2999" t="s">
        <v>66</v>
      </c>
      <c r="E2999" t="s">
        <v>1878</v>
      </c>
      <c r="F2999" s="13">
        <v>8</v>
      </c>
      <c r="G2999" s="14">
        <v>12385.95</v>
      </c>
      <c r="H2999" s="13">
        <v>108</v>
      </c>
      <c r="I2999" t="s">
        <v>76</v>
      </c>
    </row>
    <row r="3000" spans="1:9" x14ac:dyDescent="0.3">
      <c r="A3000">
        <v>3205</v>
      </c>
      <c r="B3000" t="s">
        <v>1881</v>
      </c>
      <c r="C3000" t="s">
        <v>92</v>
      </c>
      <c r="D3000" t="s">
        <v>64</v>
      </c>
      <c r="E3000" t="s">
        <v>1878</v>
      </c>
      <c r="F3000" s="13">
        <v>1</v>
      </c>
      <c r="G3000" s="14">
        <v>153.04</v>
      </c>
      <c r="H3000" s="13">
        <v>108</v>
      </c>
      <c r="I3000" t="s">
        <v>76</v>
      </c>
    </row>
    <row r="3001" spans="1:9" x14ac:dyDescent="0.3">
      <c r="A3001">
        <v>3279</v>
      </c>
      <c r="B3001" t="s">
        <v>426</v>
      </c>
      <c r="C3001" t="s">
        <v>133</v>
      </c>
      <c r="D3001" t="s">
        <v>64</v>
      </c>
      <c r="E3001" t="s">
        <v>1878</v>
      </c>
      <c r="F3001" s="13">
        <v>5</v>
      </c>
      <c r="G3001" s="14">
        <v>12663.96</v>
      </c>
      <c r="H3001" s="13">
        <v>108</v>
      </c>
      <c r="I3001" t="s">
        <v>76</v>
      </c>
    </row>
    <row r="3002" spans="1:9" x14ac:dyDescent="0.3">
      <c r="A3002">
        <v>3366</v>
      </c>
      <c r="B3002" t="s">
        <v>1216</v>
      </c>
      <c r="C3002" t="s">
        <v>92</v>
      </c>
      <c r="D3002" t="s">
        <v>64</v>
      </c>
      <c r="E3002" t="s">
        <v>1878</v>
      </c>
      <c r="F3002" s="13">
        <v>4</v>
      </c>
      <c r="G3002" s="14">
        <v>3189.24</v>
      </c>
      <c r="H3002" s="13">
        <v>108</v>
      </c>
      <c r="I3002" t="s">
        <v>76</v>
      </c>
    </row>
    <row r="3003" spans="1:9" x14ac:dyDescent="0.3">
      <c r="A3003">
        <v>3560</v>
      </c>
      <c r="B3003" t="s">
        <v>1882</v>
      </c>
      <c r="C3003" t="s">
        <v>249</v>
      </c>
      <c r="D3003" t="s">
        <v>67</v>
      </c>
      <c r="E3003" t="s">
        <v>1878</v>
      </c>
      <c r="F3003" s="13">
        <v>1</v>
      </c>
      <c r="G3003" s="14">
        <v>5680.58</v>
      </c>
      <c r="H3003" s="13">
        <v>108</v>
      </c>
      <c r="I3003" t="s">
        <v>76</v>
      </c>
    </row>
    <row r="3004" spans="1:9" x14ac:dyDescent="0.3">
      <c r="A3004">
        <v>3568</v>
      </c>
      <c r="B3004" t="s">
        <v>1883</v>
      </c>
      <c r="C3004" t="s">
        <v>92</v>
      </c>
      <c r="D3004" t="s">
        <v>64</v>
      </c>
      <c r="E3004" t="s">
        <v>1878</v>
      </c>
      <c r="F3004" s="13">
        <v>2</v>
      </c>
      <c r="G3004" s="14">
        <v>1072.56</v>
      </c>
      <c r="H3004" s="13">
        <v>108</v>
      </c>
      <c r="I3004" t="s">
        <v>76</v>
      </c>
    </row>
    <row r="3005" spans="1:9" x14ac:dyDescent="0.3">
      <c r="A3005">
        <v>3755</v>
      </c>
      <c r="B3005" t="s">
        <v>662</v>
      </c>
      <c r="C3005" t="s">
        <v>114</v>
      </c>
      <c r="D3005" t="s">
        <v>66</v>
      </c>
      <c r="E3005" t="s">
        <v>1878</v>
      </c>
      <c r="F3005" s="13">
        <v>1</v>
      </c>
      <c r="G3005" s="14">
        <v>2015.54</v>
      </c>
      <c r="H3005" s="13">
        <v>108</v>
      </c>
      <c r="I3005" t="s">
        <v>76</v>
      </c>
    </row>
    <row r="3006" spans="1:9" x14ac:dyDescent="0.3">
      <c r="A3006">
        <v>4196</v>
      </c>
      <c r="B3006" t="s">
        <v>120</v>
      </c>
      <c r="C3006" t="s">
        <v>92</v>
      </c>
      <c r="D3006" t="s">
        <v>64</v>
      </c>
      <c r="E3006" t="s">
        <v>1878</v>
      </c>
      <c r="F3006" s="13">
        <v>6</v>
      </c>
      <c r="G3006" s="14">
        <v>8079.96</v>
      </c>
      <c r="H3006" s="13">
        <v>108</v>
      </c>
      <c r="I3006" t="s">
        <v>76</v>
      </c>
    </row>
    <row r="3007" spans="1:9" x14ac:dyDescent="0.3">
      <c r="A3007">
        <v>4420</v>
      </c>
      <c r="B3007" t="s">
        <v>1884</v>
      </c>
      <c r="C3007" t="s">
        <v>92</v>
      </c>
      <c r="D3007" t="s">
        <v>64</v>
      </c>
      <c r="E3007" t="s">
        <v>1878</v>
      </c>
      <c r="F3007" s="13">
        <v>2</v>
      </c>
      <c r="G3007" s="14">
        <v>1761.66</v>
      </c>
      <c r="H3007" s="13">
        <v>108</v>
      </c>
      <c r="I3007" t="s">
        <v>76</v>
      </c>
    </row>
    <row r="3008" spans="1:9" x14ac:dyDescent="0.3">
      <c r="A3008">
        <v>7410</v>
      </c>
      <c r="B3008" t="s">
        <v>297</v>
      </c>
      <c r="C3008" t="s">
        <v>87</v>
      </c>
      <c r="D3008" t="s">
        <v>64</v>
      </c>
      <c r="E3008" t="s">
        <v>1878</v>
      </c>
      <c r="F3008" s="13">
        <v>5</v>
      </c>
      <c r="G3008" s="14">
        <v>28348.17</v>
      </c>
      <c r="H3008" s="13">
        <v>108</v>
      </c>
      <c r="I3008" t="s">
        <v>76</v>
      </c>
    </row>
    <row r="3009" spans="1:9" x14ac:dyDescent="0.3">
      <c r="A3009">
        <v>8988</v>
      </c>
      <c r="B3009" t="s">
        <v>325</v>
      </c>
      <c r="C3009" t="s">
        <v>137</v>
      </c>
      <c r="D3009" t="s">
        <v>64</v>
      </c>
      <c r="E3009" t="s">
        <v>1878</v>
      </c>
      <c r="F3009" s="13">
        <v>4</v>
      </c>
      <c r="G3009" s="14">
        <v>1077.67</v>
      </c>
      <c r="H3009" s="13">
        <v>108</v>
      </c>
      <c r="I3009" t="s">
        <v>76</v>
      </c>
    </row>
    <row r="3010" spans="1:9" x14ac:dyDescent="0.3">
      <c r="A3010">
        <v>108</v>
      </c>
      <c r="B3010" t="s">
        <v>449</v>
      </c>
      <c r="C3010" t="s">
        <v>100</v>
      </c>
      <c r="D3010" t="s">
        <v>66</v>
      </c>
      <c r="E3010" t="s">
        <v>1885</v>
      </c>
      <c r="F3010" s="13">
        <v>3</v>
      </c>
      <c r="G3010" s="14">
        <v>5115.63</v>
      </c>
      <c r="H3010" s="13">
        <v>107</v>
      </c>
      <c r="I3010" t="s">
        <v>76</v>
      </c>
    </row>
    <row r="3011" spans="1:9" x14ac:dyDescent="0.3">
      <c r="A3011">
        <v>687</v>
      </c>
      <c r="B3011" t="s">
        <v>1886</v>
      </c>
      <c r="C3011" t="s">
        <v>114</v>
      </c>
      <c r="D3011" t="s">
        <v>66</v>
      </c>
      <c r="E3011" t="s">
        <v>1885</v>
      </c>
      <c r="F3011" s="13">
        <v>3</v>
      </c>
      <c r="G3011" s="14">
        <v>5317.04</v>
      </c>
      <c r="H3011" s="13">
        <v>107</v>
      </c>
      <c r="I3011" t="s">
        <v>76</v>
      </c>
    </row>
    <row r="3012" spans="1:9" x14ac:dyDescent="0.3">
      <c r="A3012">
        <v>1182</v>
      </c>
      <c r="B3012" t="s">
        <v>641</v>
      </c>
      <c r="C3012" t="s">
        <v>92</v>
      </c>
      <c r="D3012" t="s">
        <v>64</v>
      </c>
      <c r="E3012" t="s">
        <v>1885</v>
      </c>
      <c r="F3012" s="13">
        <v>3</v>
      </c>
      <c r="G3012" s="14">
        <v>3661.25</v>
      </c>
      <c r="H3012" s="13">
        <v>107</v>
      </c>
      <c r="I3012" t="s">
        <v>76</v>
      </c>
    </row>
    <row r="3013" spans="1:9" x14ac:dyDescent="0.3">
      <c r="A3013">
        <v>1232</v>
      </c>
      <c r="B3013" t="s">
        <v>135</v>
      </c>
      <c r="C3013" t="s">
        <v>133</v>
      </c>
      <c r="D3013" t="s">
        <v>64</v>
      </c>
      <c r="E3013" t="s">
        <v>1885</v>
      </c>
      <c r="F3013" s="13">
        <v>6</v>
      </c>
      <c r="G3013" s="14">
        <v>12567.27</v>
      </c>
      <c r="H3013" s="13">
        <v>107</v>
      </c>
      <c r="I3013" t="s">
        <v>76</v>
      </c>
    </row>
    <row r="3014" spans="1:9" x14ac:dyDescent="0.3">
      <c r="A3014">
        <v>1318</v>
      </c>
      <c r="B3014" t="s">
        <v>1887</v>
      </c>
      <c r="C3014" t="s">
        <v>137</v>
      </c>
      <c r="D3014" t="s">
        <v>64</v>
      </c>
      <c r="E3014" t="s">
        <v>1885</v>
      </c>
      <c r="F3014" s="13">
        <v>3</v>
      </c>
      <c r="G3014" s="14">
        <v>11431.78</v>
      </c>
      <c r="H3014" s="13">
        <v>107</v>
      </c>
      <c r="I3014" t="s">
        <v>76</v>
      </c>
    </row>
    <row r="3015" spans="1:9" x14ac:dyDescent="0.3">
      <c r="A3015">
        <v>1395</v>
      </c>
      <c r="B3015" t="s">
        <v>373</v>
      </c>
      <c r="C3015" t="s">
        <v>92</v>
      </c>
      <c r="D3015" t="s">
        <v>64</v>
      </c>
      <c r="E3015" t="s">
        <v>1885</v>
      </c>
      <c r="F3015" s="13">
        <v>2</v>
      </c>
      <c r="G3015" s="14">
        <v>2812.81</v>
      </c>
      <c r="H3015" s="13">
        <v>107</v>
      </c>
      <c r="I3015" t="s">
        <v>76</v>
      </c>
    </row>
    <row r="3016" spans="1:9" x14ac:dyDescent="0.3">
      <c r="A3016">
        <v>1400</v>
      </c>
      <c r="B3016" t="s">
        <v>333</v>
      </c>
      <c r="C3016" t="s">
        <v>123</v>
      </c>
      <c r="D3016" t="s">
        <v>65</v>
      </c>
      <c r="E3016" t="s">
        <v>1885</v>
      </c>
      <c r="F3016" s="13">
        <v>4</v>
      </c>
      <c r="G3016" s="14">
        <v>7336.34</v>
      </c>
      <c r="H3016" s="13">
        <v>107</v>
      </c>
      <c r="I3016" t="s">
        <v>76</v>
      </c>
    </row>
    <row r="3017" spans="1:9" x14ac:dyDescent="0.3">
      <c r="A3017">
        <v>1637</v>
      </c>
      <c r="B3017" t="s">
        <v>1888</v>
      </c>
      <c r="C3017" t="s">
        <v>92</v>
      </c>
      <c r="D3017" t="s">
        <v>64</v>
      </c>
      <c r="E3017" t="s">
        <v>1885</v>
      </c>
      <c r="F3017" s="13">
        <v>2</v>
      </c>
      <c r="G3017" s="14">
        <v>8537.7000000000007</v>
      </c>
      <c r="H3017" s="13">
        <v>107</v>
      </c>
      <c r="I3017" t="s">
        <v>76</v>
      </c>
    </row>
    <row r="3018" spans="1:9" x14ac:dyDescent="0.3">
      <c r="A3018">
        <v>1788</v>
      </c>
      <c r="B3018" t="s">
        <v>325</v>
      </c>
      <c r="C3018" t="s">
        <v>121</v>
      </c>
      <c r="D3018" t="s">
        <v>67</v>
      </c>
      <c r="E3018" t="s">
        <v>1885</v>
      </c>
      <c r="F3018" s="13">
        <v>1</v>
      </c>
      <c r="G3018" s="14">
        <v>270.85000000000002</v>
      </c>
      <c r="H3018" s="13">
        <v>107</v>
      </c>
      <c r="I3018" t="s">
        <v>76</v>
      </c>
    </row>
    <row r="3019" spans="1:9" x14ac:dyDescent="0.3">
      <c r="A3019">
        <v>2721</v>
      </c>
      <c r="B3019" t="s">
        <v>1239</v>
      </c>
      <c r="C3019" t="s">
        <v>92</v>
      </c>
      <c r="D3019" t="s">
        <v>64</v>
      </c>
      <c r="E3019" t="s">
        <v>1885</v>
      </c>
      <c r="F3019" s="13">
        <v>2</v>
      </c>
      <c r="G3019" s="14">
        <v>1872.07</v>
      </c>
      <c r="H3019" s="13">
        <v>107</v>
      </c>
      <c r="I3019" t="s">
        <v>76</v>
      </c>
    </row>
    <row r="3020" spans="1:9" x14ac:dyDescent="0.3">
      <c r="A3020">
        <v>2999</v>
      </c>
      <c r="B3020" t="s">
        <v>1889</v>
      </c>
      <c r="C3020" t="s">
        <v>90</v>
      </c>
      <c r="D3020" t="s">
        <v>66</v>
      </c>
      <c r="E3020" t="s">
        <v>1885</v>
      </c>
      <c r="F3020" s="13">
        <v>2</v>
      </c>
      <c r="G3020" s="14">
        <v>786.54</v>
      </c>
      <c r="H3020" s="13">
        <v>107</v>
      </c>
      <c r="I3020" t="s">
        <v>76</v>
      </c>
    </row>
    <row r="3021" spans="1:9" x14ac:dyDescent="0.3">
      <c r="A3021">
        <v>3151</v>
      </c>
      <c r="B3021" t="s">
        <v>1890</v>
      </c>
      <c r="C3021" t="s">
        <v>92</v>
      </c>
      <c r="D3021" t="s">
        <v>64</v>
      </c>
      <c r="E3021" t="s">
        <v>1885</v>
      </c>
      <c r="F3021" s="13">
        <v>1</v>
      </c>
      <c r="G3021" s="14">
        <v>382.68</v>
      </c>
      <c r="H3021" s="13">
        <v>107</v>
      </c>
      <c r="I3021" t="s">
        <v>76</v>
      </c>
    </row>
    <row r="3022" spans="1:9" x14ac:dyDescent="0.3">
      <c r="A3022">
        <v>4094</v>
      </c>
      <c r="B3022" t="s">
        <v>1891</v>
      </c>
      <c r="C3022" t="s">
        <v>137</v>
      </c>
      <c r="D3022" t="s">
        <v>64</v>
      </c>
      <c r="E3022" t="s">
        <v>1885</v>
      </c>
      <c r="F3022" s="13">
        <v>7</v>
      </c>
      <c r="G3022" s="14">
        <v>16816.46</v>
      </c>
      <c r="H3022" s="13">
        <v>107</v>
      </c>
      <c r="I3022" t="s">
        <v>76</v>
      </c>
    </row>
    <row r="3023" spans="1:9" x14ac:dyDescent="0.3">
      <c r="A3023">
        <v>4210</v>
      </c>
      <c r="B3023" t="s">
        <v>311</v>
      </c>
      <c r="C3023" t="s">
        <v>97</v>
      </c>
      <c r="D3023" t="s">
        <v>65</v>
      </c>
      <c r="E3023" t="s">
        <v>1885</v>
      </c>
      <c r="F3023" s="13">
        <v>1</v>
      </c>
      <c r="G3023" s="14">
        <v>1275.6300000000001</v>
      </c>
      <c r="H3023" s="13">
        <v>107</v>
      </c>
      <c r="I3023" t="s">
        <v>76</v>
      </c>
    </row>
    <row r="3024" spans="1:9" x14ac:dyDescent="0.3">
      <c r="A3024">
        <v>5631</v>
      </c>
      <c r="B3024" t="s">
        <v>527</v>
      </c>
      <c r="C3024" t="s">
        <v>100</v>
      </c>
      <c r="D3024" t="s">
        <v>66</v>
      </c>
      <c r="E3024" t="s">
        <v>1885</v>
      </c>
      <c r="F3024" s="13">
        <v>2</v>
      </c>
      <c r="G3024" s="14">
        <v>863.54</v>
      </c>
      <c r="H3024" s="13">
        <v>107</v>
      </c>
      <c r="I3024" t="s">
        <v>76</v>
      </c>
    </row>
    <row r="3025" spans="1:9" x14ac:dyDescent="0.3">
      <c r="A3025">
        <v>7090</v>
      </c>
      <c r="B3025" t="s">
        <v>475</v>
      </c>
      <c r="C3025" t="s">
        <v>90</v>
      </c>
      <c r="D3025" t="s">
        <v>66</v>
      </c>
      <c r="E3025" t="s">
        <v>1885</v>
      </c>
      <c r="F3025" s="13">
        <v>4</v>
      </c>
      <c r="G3025" s="14">
        <v>8976.75</v>
      </c>
      <c r="H3025" s="13">
        <v>107</v>
      </c>
      <c r="I3025" t="s">
        <v>76</v>
      </c>
    </row>
    <row r="3026" spans="1:9" x14ac:dyDescent="0.3">
      <c r="A3026">
        <v>7139</v>
      </c>
      <c r="B3026" t="s">
        <v>163</v>
      </c>
      <c r="C3026" t="s">
        <v>156</v>
      </c>
      <c r="D3026" t="s">
        <v>68</v>
      </c>
      <c r="E3026" t="s">
        <v>1885</v>
      </c>
      <c r="F3026" s="13">
        <v>4</v>
      </c>
      <c r="G3026" s="14">
        <v>4325.13</v>
      </c>
      <c r="H3026" s="13">
        <v>107</v>
      </c>
      <c r="I3026" t="s">
        <v>76</v>
      </c>
    </row>
    <row r="3027" spans="1:9" x14ac:dyDescent="0.3">
      <c r="A3027">
        <v>7743</v>
      </c>
      <c r="B3027" t="s">
        <v>936</v>
      </c>
      <c r="C3027" t="s">
        <v>137</v>
      </c>
      <c r="D3027" t="s">
        <v>64</v>
      </c>
      <c r="E3027" t="s">
        <v>1885</v>
      </c>
      <c r="F3027" s="13">
        <v>3</v>
      </c>
      <c r="G3027" s="14">
        <v>4676.8999999999996</v>
      </c>
      <c r="H3027" s="13">
        <v>107</v>
      </c>
      <c r="I3027" t="s">
        <v>76</v>
      </c>
    </row>
    <row r="3028" spans="1:9" x14ac:dyDescent="0.3">
      <c r="A3028">
        <v>7822</v>
      </c>
      <c r="B3028" t="s">
        <v>404</v>
      </c>
      <c r="C3028" t="s">
        <v>92</v>
      </c>
      <c r="D3028" t="s">
        <v>64</v>
      </c>
      <c r="E3028" t="s">
        <v>1885</v>
      </c>
      <c r="F3028" s="13">
        <v>1</v>
      </c>
      <c r="G3028" s="14">
        <v>30.04</v>
      </c>
      <c r="H3028" s="13">
        <v>107</v>
      </c>
      <c r="I3028" t="s">
        <v>76</v>
      </c>
    </row>
    <row r="3029" spans="1:9" x14ac:dyDescent="0.3">
      <c r="A3029">
        <v>8442</v>
      </c>
      <c r="B3029" t="s">
        <v>342</v>
      </c>
      <c r="C3029" t="s">
        <v>90</v>
      </c>
      <c r="D3029" t="s">
        <v>66</v>
      </c>
      <c r="E3029" t="s">
        <v>1885</v>
      </c>
      <c r="F3029" s="13">
        <v>2</v>
      </c>
      <c r="G3029" s="14">
        <v>2331.79</v>
      </c>
      <c r="H3029" s="13">
        <v>107</v>
      </c>
      <c r="I3029" t="s">
        <v>76</v>
      </c>
    </row>
    <row r="3030" spans="1:9" x14ac:dyDescent="0.3">
      <c r="A3030">
        <v>809</v>
      </c>
      <c r="B3030" t="s">
        <v>1892</v>
      </c>
      <c r="C3030" t="s">
        <v>92</v>
      </c>
      <c r="D3030" t="s">
        <v>64</v>
      </c>
      <c r="E3030" t="s">
        <v>1893</v>
      </c>
      <c r="F3030" s="13">
        <v>2</v>
      </c>
      <c r="G3030" s="14">
        <v>5294.66</v>
      </c>
      <c r="H3030" s="13">
        <v>106</v>
      </c>
      <c r="I3030" t="s">
        <v>76</v>
      </c>
    </row>
    <row r="3031" spans="1:9" x14ac:dyDescent="0.3">
      <c r="A3031">
        <v>1133</v>
      </c>
      <c r="B3031" t="s">
        <v>940</v>
      </c>
      <c r="C3031" t="s">
        <v>133</v>
      </c>
      <c r="D3031" t="s">
        <v>64</v>
      </c>
      <c r="E3031" t="s">
        <v>1893</v>
      </c>
      <c r="F3031" s="13">
        <v>2</v>
      </c>
      <c r="G3031" s="14">
        <v>6043.13</v>
      </c>
      <c r="H3031" s="13">
        <v>106</v>
      </c>
      <c r="I3031" t="s">
        <v>76</v>
      </c>
    </row>
    <row r="3032" spans="1:9" x14ac:dyDescent="0.3">
      <c r="A3032">
        <v>2985</v>
      </c>
      <c r="B3032" t="s">
        <v>1894</v>
      </c>
      <c r="C3032" t="s">
        <v>121</v>
      </c>
      <c r="D3032" t="s">
        <v>67</v>
      </c>
      <c r="E3032" t="s">
        <v>1893</v>
      </c>
      <c r="F3032" s="13">
        <v>7</v>
      </c>
      <c r="G3032" s="14">
        <v>18305.580000000002</v>
      </c>
      <c r="H3032" s="13">
        <v>106</v>
      </c>
      <c r="I3032" t="s">
        <v>76</v>
      </c>
    </row>
    <row r="3033" spans="1:9" x14ac:dyDescent="0.3">
      <c r="A3033">
        <v>3044</v>
      </c>
      <c r="B3033" t="s">
        <v>86</v>
      </c>
      <c r="C3033" t="s">
        <v>100</v>
      </c>
      <c r="D3033" t="s">
        <v>66</v>
      </c>
      <c r="E3033" t="s">
        <v>1893</v>
      </c>
      <c r="F3033" s="13">
        <v>1</v>
      </c>
      <c r="G3033" s="14">
        <v>1245.77</v>
      </c>
      <c r="H3033" s="13">
        <v>106</v>
      </c>
      <c r="I3033" t="s">
        <v>76</v>
      </c>
    </row>
    <row r="3034" spans="1:9" x14ac:dyDescent="0.3">
      <c r="A3034">
        <v>3416</v>
      </c>
      <c r="B3034" t="s">
        <v>460</v>
      </c>
      <c r="C3034" t="s">
        <v>97</v>
      </c>
      <c r="D3034" t="s">
        <v>65</v>
      </c>
      <c r="E3034" t="s">
        <v>1893</v>
      </c>
      <c r="F3034" s="13">
        <v>2</v>
      </c>
      <c r="G3034" s="14">
        <v>5432.15</v>
      </c>
      <c r="H3034" s="13">
        <v>106</v>
      </c>
      <c r="I3034" t="s">
        <v>76</v>
      </c>
    </row>
    <row r="3035" spans="1:9" x14ac:dyDescent="0.3">
      <c r="A3035">
        <v>3491</v>
      </c>
      <c r="B3035" t="s">
        <v>1201</v>
      </c>
      <c r="C3035" t="s">
        <v>92</v>
      </c>
      <c r="D3035" t="s">
        <v>64</v>
      </c>
      <c r="E3035" t="s">
        <v>1893</v>
      </c>
      <c r="F3035" s="13">
        <v>2</v>
      </c>
      <c r="G3035" s="14">
        <v>1187.3699999999999</v>
      </c>
      <c r="H3035" s="13">
        <v>106</v>
      </c>
      <c r="I3035" t="s">
        <v>76</v>
      </c>
    </row>
    <row r="3036" spans="1:9" x14ac:dyDescent="0.3">
      <c r="A3036">
        <v>3777</v>
      </c>
      <c r="B3036" t="s">
        <v>1895</v>
      </c>
      <c r="C3036" t="s">
        <v>97</v>
      </c>
      <c r="D3036" t="s">
        <v>65</v>
      </c>
      <c r="E3036" t="s">
        <v>1893</v>
      </c>
      <c r="F3036" s="13">
        <v>3</v>
      </c>
      <c r="G3036" s="14">
        <v>9058.51</v>
      </c>
      <c r="H3036" s="13">
        <v>106</v>
      </c>
      <c r="I3036" t="s">
        <v>76</v>
      </c>
    </row>
    <row r="3037" spans="1:9" x14ac:dyDescent="0.3">
      <c r="A3037">
        <v>3819</v>
      </c>
      <c r="B3037" t="s">
        <v>178</v>
      </c>
      <c r="C3037" t="s">
        <v>92</v>
      </c>
      <c r="D3037" t="s">
        <v>64</v>
      </c>
      <c r="E3037" t="s">
        <v>1893</v>
      </c>
      <c r="F3037" s="13">
        <v>2</v>
      </c>
      <c r="G3037" s="14">
        <v>6502.14</v>
      </c>
      <c r="H3037" s="13">
        <v>106</v>
      </c>
      <c r="I3037" t="s">
        <v>76</v>
      </c>
    </row>
    <row r="3038" spans="1:9" x14ac:dyDescent="0.3">
      <c r="A3038">
        <v>4203</v>
      </c>
      <c r="B3038" t="s">
        <v>638</v>
      </c>
      <c r="C3038" t="s">
        <v>137</v>
      </c>
      <c r="D3038" t="s">
        <v>64</v>
      </c>
      <c r="E3038" t="s">
        <v>1893</v>
      </c>
      <c r="F3038" s="13">
        <v>2</v>
      </c>
      <c r="G3038" s="14">
        <v>1537.03</v>
      </c>
      <c r="H3038" s="13">
        <v>106</v>
      </c>
      <c r="I3038" t="s">
        <v>76</v>
      </c>
    </row>
    <row r="3039" spans="1:9" x14ac:dyDescent="0.3">
      <c r="A3039">
        <v>4254</v>
      </c>
      <c r="B3039" t="s">
        <v>760</v>
      </c>
      <c r="C3039" t="s">
        <v>95</v>
      </c>
      <c r="D3039" t="s">
        <v>65</v>
      </c>
      <c r="E3039" t="s">
        <v>1893</v>
      </c>
      <c r="F3039" s="13">
        <v>1</v>
      </c>
      <c r="G3039" s="14">
        <v>1618.87</v>
      </c>
      <c r="H3039" s="13">
        <v>106</v>
      </c>
      <c r="I3039" t="s">
        <v>76</v>
      </c>
    </row>
    <row r="3040" spans="1:9" x14ac:dyDescent="0.3">
      <c r="A3040">
        <v>4581</v>
      </c>
      <c r="B3040" t="s">
        <v>1896</v>
      </c>
      <c r="C3040" t="s">
        <v>137</v>
      </c>
      <c r="D3040" t="s">
        <v>64</v>
      </c>
      <c r="E3040" t="s">
        <v>1893</v>
      </c>
      <c r="F3040" s="13">
        <v>3</v>
      </c>
      <c r="G3040" s="14">
        <v>3213.92</v>
      </c>
      <c r="H3040" s="13">
        <v>106</v>
      </c>
      <c r="I3040" t="s">
        <v>76</v>
      </c>
    </row>
    <row r="3041" spans="1:9" x14ac:dyDescent="0.3">
      <c r="A3041">
        <v>4722</v>
      </c>
      <c r="B3041" t="s">
        <v>178</v>
      </c>
      <c r="C3041" t="s">
        <v>137</v>
      </c>
      <c r="D3041" t="s">
        <v>64</v>
      </c>
      <c r="E3041" t="s">
        <v>1893</v>
      </c>
      <c r="F3041" s="13">
        <v>4</v>
      </c>
      <c r="G3041" s="14">
        <v>2287.11</v>
      </c>
      <c r="H3041" s="13">
        <v>106</v>
      </c>
      <c r="I3041" t="s">
        <v>76</v>
      </c>
    </row>
    <row r="3042" spans="1:9" x14ac:dyDescent="0.3">
      <c r="A3042">
        <v>5025</v>
      </c>
      <c r="B3042" t="s">
        <v>559</v>
      </c>
      <c r="C3042" t="s">
        <v>92</v>
      </c>
      <c r="D3042" t="s">
        <v>64</v>
      </c>
      <c r="E3042" t="s">
        <v>1893</v>
      </c>
      <c r="F3042" s="13">
        <v>1</v>
      </c>
      <c r="G3042" s="14">
        <v>2050.64</v>
      </c>
      <c r="H3042" s="13">
        <v>106</v>
      </c>
      <c r="I3042" t="s">
        <v>76</v>
      </c>
    </row>
    <row r="3043" spans="1:9" x14ac:dyDescent="0.3">
      <c r="A3043">
        <v>5363</v>
      </c>
      <c r="B3043" t="s">
        <v>1897</v>
      </c>
      <c r="C3043" t="s">
        <v>92</v>
      </c>
      <c r="D3043" t="s">
        <v>64</v>
      </c>
      <c r="E3043" t="s">
        <v>1893</v>
      </c>
      <c r="F3043" s="13">
        <v>5</v>
      </c>
      <c r="G3043" s="14">
        <v>11883.19</v>
      </c>
      <c r="H3043" s="13">
        <v>106</v>
      </c>
      <c r="I3043" t="s">
        <v>76</v>
      </c>
    </row>
    <row r="3044" spans="1:9" x14ac:dyDescent="0.3">
      <c r="A3044">
        <v>5757</v>
      </c>
      <c r="B3044" t="s">
        <v>751</v>
      </c>
      <c r="C3044" t="s">
        <v>90</v>
      </c>
      <c r="D3044" t="s">
        <v>66</v>
      </c>
      <c r="E3044" t="s">
        <v>1893</v>
      </c>
      <c r="F3044" s="13">
        <v>2</v>
      </c>
      <c r="G3044" s="14">
        <v>8837.59</v>
      </c>
      <c r="H3044" s="13">
        <v>106</v>
      </c>
      <c r="I3044" t="s">
        <v>76</v>
      </c>
    </row>
    <row r="3045" spans="1:9" x14ac:dyDescent="0.3">
      <c r="A3045">
        <v>5761</v>
      </c>
      <c r="B3045" t="s">
        <v>1898</v>
      </c>
      <c r="C3045" t="s">
        <v>137</v>
      </c>
      <c r="D3045" t="s">
        <v>64</v>
      </c>
      <c r="E3045" t="s">
        <v>1893</v>
      </c>
      <c r="F3045" s="13">
        <v>3</v>
      </c>
      <c r="G3045" s="14">
        <v>6323.37</v>
      </c>
      <c r="H3045" s="13">
        <v>106</v>
      </c>
      <c r="I3045" t="s">
        <v>76</v>
      </c>
    </row>
    <row r="3046" spans="1:9" x14ac:dyDescent="0.3">
      <c r="A3046">
        <v>6362</v>
      </c>
      <c r="B3046" t="s">
        <v>1899</v>
      </c>
      <c r="C3046" t="s">
        <v>92</v>
      </c>
      <c r="D3046" t="s">
        <v>64</v>
      </c>
      <c r="E3046" t="s">
        <v>1893</v>
      </c>
      <c r="F3046" s="13">
        <v>1</v>
      </c>
      <c r="G3046" s="14">
        <v>428.67</v>
      </c>
      <c r="H3046" s="13">
        <v>106</v>
      </c>
      <c r="I3046" t="s">
        <v>76</v>
      </c>
    </row>
    <row r="3047" spans="1:9" x14ac:dyDescent="0.3">
      <c r="A3047">
        <v>7277</v>
      </c>
      <c r="B3047" t="s">
        <v>116</v>
      </c>
      <c r="C3047" t="s">
        <v>97</v>
      </c>
      <c r="D3047" t="s">
        <v>65</v>
      </c>
      <c r="E3047" t="s">
        <v>1893</v>
      </c>
      <c r="F3047" s="13">
        <v>5</v>
      </c>
      <c r="G3047" s="14">
        <v>5215.6099999999997</v>
      </c>
      <c r="H3047" s="13">
        <v>106</v>
      </c>
      <c r="I3047" t="s">
        <v>76</v>
      </c>
    </row>
    <row r="3048" spans="1:9" x14ac:dyDescent="0.3">
      <c r="A3048">
        <v>8259</v>
      </c>
      <c r="B3048" t="s">
        <v>1193</v>
      </c>
      <c r="C3048" t="s">
        <v>95</v>
      </c>
      <c r="D3048" t="s">
        <v>65</v>
      </c>
      <c r="E3048" t="s">
        <v>1893</v>
      </c>
      <c r="F3048" s="13">
        <v>2</v>
      </c>
      <c r="G3048" s="14">
        <v>745.04</v>
      </c>
      <c r="H3048" s="13">
        <v>106</v>
      </c>
      <c r="I3048" t="s">
        <v>76</v>
      </c>
    </row>
    <row r="3049" spans="1:9" x14ac:dyDescent="0.3">
      <c r="A3049">
        <v>8541</v>
      </c>
      <c r="B3049" t="s">
        <v>311</v>
      </c>
      <c r="C3049" t="s">
        <v>123</v>
      </c>
      <c r="D3049" t="s">
        <v>65</v>
      </c>
      <c r="E3049" t="s">
        <v>1893</v>
      </c>
      <c r="F3049" s="13">
        <v>2</v>
      </c>
      <c r="G3049" s="14">
        <v>15217.79</v>
      </c>
      <c r="H3049" s="13">
        <v>106</v>
      </c>
      <c r="I3049" t="s">
        <v>76</v>
      </c>
    </row>
    <row r="3050" spans="1:9" x14ac:dyDescent="0.3">
      <c r="A3050">
        <v>8675</v>
      </c>
      <c r="B3050" t="s">
        <v>252</v>
      </c>
      <c r="C3050" t="s">
        <v>90</v>
      </c>
      <c r="D3050" t="s">
        <v>66</v>
      </c>
      <c r="E3050" t="s">
        <v>1893</v>
      </c>
      <c r="F3050" s="13">
        <v>2</v>
      </c>
      <c r="G3050" s="14">
        <v>5087.6099999999997</v>
      </c>
      <c r="H3050" s="13">
        <v>106</v>
      </c>
      <c r="I3050" t="s">
        <v>76</v>
      </c>
    </row>
    <row r="3051" spans="1:9" x14ac:dyDescent="0.3">
      <c r="A3051">
        <v>305</v>
      </c>
      <c r="B3051" t="s">
        <v>1900</v>
      </c>
      <c r="C3051" t="s">
        <v>133</v>
      </c>
      <c r="D3051" t="s">
        <v>64</v>
      </c>
      <c r="E3051" t="s">
        <v>1901</v>
      </c>
      <c r="F3051" s="13">
        <v>2</v>
      </c>
      <c r="G3051" s="14">
        <v>7176.21</v>
      </c>
      <c r="H3051" s="13">
        <v>105</v>
      </c>
      <c r="I3051" t="s">
        <v>76</v>
      </c>
    </row>
    <row r="3052" spans="1:9" x14ac:dyDescent="0.3">
      <c r="A3052">
        <v>1132</v>
      </c>
      <c r="B3052" t="s">
        <v>1902</v>
      </c>
      <c r="C3052" t="s">
        <v>473</v>
      </c>
      <c r="D3052" t="s">
        <v>68</v>
      </c>
      <c r="E3052" t="s">
        <v>1901</v>
      </c>
      <c r="F3052" s="13">
        <v>1</v>
      </c>
      <c r="G3052" s="14">
        <v>424.46</v>
      </c>
      <c r="H3052" s="13">
        <v>105</v>
      </c>
      <c r="I3052" t="s">
        <v>76</v>
      </c>
    </row>
    <row r="3053" spans="1:9" x14ac:dyDescent="0.3">
      <c r="A3053">
        <v>1264</v>
      </c>
      <c r="B3053" t="s">
        <v>253</v>
      </c>
      <c r="C3053" t="s">
        <v>92</v>
      </c>
      <c r="D3053" t="s">
        <v>64</v>
      </c>
      <c r="E3053" t="s">
        <v>1901</v>
      </c>
      <c r="F3053" s="13">
        <v>2</v>
      </c>
      <c r="G3053" s="14">
        <v>7369.5</v>
      </c>
      <c r="H3053" s="13">
        <v>105</v>
      </c>
      <c r="I3053" t="s">
        <v>76</v>
      </c>
    </row>
    <row r="3054" spans="1:9" x14ac:dyDescent="0.3">
      <c r="A3054">
        <v>3092</v>
      </c>
      <c r="B3054" t="s">
        <v>636</v>
      </c>
      <c r="C3054" t="s">
        <v>90</v>
      </c>
      <c r="D3054" t="s">
        <v>66</v>
      </c>
      <c r="E3054" t="s">
        <v>1901</v>
      </c>
      <c r="F3054" s="13">
        <v>3</v>
      </c>
      <c r="G3054" s="14">
        <v>1490.91</v>
      </c>
      <c r="H3054" s="13">
        <v>105</v>
      </c>
      <c r="I3054" t="s">
        <v>76</v>
      </c>
    </row>
    <row r="3055" spans="1:9" x14ac:dyDescent="0.3">
      <c r="A3055">
        <v>4593</v>
      </c>
      <c r="B3055" t="s">
        <v>178</v>
      </c>
      <c r="C3055" t="s">
        <v>137</v>
      </c>
      <c r="D3055" t="s">
        <v>64</v>
      </c>
      <c r="E3055" t="s">
        <v>1901</v>
      </c>
      <c r="F3055" s="13">
        <v>2</v>
      </c>
      <c r="G3055" s="14">
        <v>4576.8100000000004</v>
      </c>
      <c r="H3055" s="13">
        <v>105</v>
      </c>
      <c r="I3055" t="s">
        <v>76</v>
      </c>
    </row>
    <row r="3056" spans="1:9" x14ac:dyDescent="0.3">
      <c r="A3056">
        <v>5517</v>
      </c>
      <c r="B3056" t="s">
        <v>333</v>
      </c>
      <c r="C3056" t="s">
        <v>92</v>
      </c>
      <c r="D3056" t="s">
        <v>64</v>
      </c>
      <c r="E3056" t="s">
        <v>1901</v>
      </c>
      <c r="F3056" s="13">
        <v>1</v>
      </c>
      <c r="G3056" s="14">
        <v>629.21</v>
      </c>
      <c r="H3056" s="13">
        <v>105</v>
      </c>
      <c r="I3056" t="s">
        <v>76</v>
      </c>
    </row>
    <row r="3057" spans="1:9" x14ac:dyDescent="0.3">
      <c r="A3057">
        <v>5890</v>
      </c>
      <c r="B3057" t="s">
        <v>606</v>
      </c>
      <c r="C3057" t="s">
        <v>92</v>
      </c>
      <c r="D3057" t="s">
        <v>64</v>
      </c>
      <c r="E3057" t="s">
        <v>1901</v>
      </c>
      <c r="F3057" s="13">
        <v>2</v>
      </c>
      <c r="G3057" s="14">
        <v>3113.32</v>
      </c>
      <c r="H3057" s="13">
        <v>105</v>
      </c>
      <c r="I3057" t="s">
        <v>76</v>
      </c>
    </row>
    <row r="3058" spans="1:9" x14ac:dyDescent="0.3">
      <c r="A3058">
        <v>6034</v>
      </c>
      <c r="B3058" t="s">
        <v>178</v>
      </c>
      <c r="C3058" t="s">
        <v>92</v>
      </c>
      <c r="D3058" t="s">
        <v>64</v>
      </c>
      <c r="E3058" t="s">
        <v>1901</v>
      </c>
      <c r="F3058" s="13">
        <v>3</v>
      </c>
      <c r="G3058" s="14">
        <v>2019.55</v>
      </c>
      <c r="H3058" s="13">
        <v>105</v>
      </c>
      <c r="I3058" t="s">
        <v>76</v>
      </c>
    </row>
    <row r="3059" spans="1:9" x14ac:dyDescent="0.3">
      <c r="A3059">
        <v>6322</v>
      </c>
      <c r="B3059" t="s">
        <v>1903</v>
      </c>
      <c r="C3059" t="s">
        <v>133</v>
      </c>
      <c r="D3059" t="s">
        <v>64</v>
      </c>
      <c r="E3059" t="s">
        <v>1901</v>
      </c>
      <c r="F3059" s="13">
        <v>2</v>
      </c>
      <c r="G3059" s="14">
        <v>6040.72</v>
      </c>
      <c r="H3059" s="13">
        <v>105</v>
      </c>
      <c r="I3059" t="s">
        <v>76</v>
      </c>
    </row>
    <row r="3060" spans="1:9" x14ac:dyDescent="0.3">
      <c r="A3060">
        <v>6402</v>
      </c>
      <c r="B3060" t="s">
        <v>1904</v>
      </c>
      <c r="C3060" t="s">
        <v>100</v>
      </c>
      <c r="D3060" t="s">
        <v>66</v>
      </c>
      <c r="E3060" t="s">
        <v>1901</v>
      </c>
      <c r="F3060" s="13">
        <v>5</v>
      </c>
      <c r="G3060" s="14">
        <v>16762.39</v>
      </c>
      <c r="H3060" s="13">
        <v>105</v>
      </c>
      <c r="I3060" t="s">
        <v>76</v>
      </c>
    </row>
    <row r="3061" spans="1:9" x14ac:dyDescent="0.3">
      <c r="A3061">
        <v>7519</v>
      </c>
      <c r="B3061" t="s">
        <v>366</v>
      </c>
      <c r="C3061" t="s">
        <v>114</v>
      </c>
      <c r="D3061" t="s">
        <v>66</v>
      </c>
      <c r="E3061" t="s">
        <v>1901</v>
      </c>
      <c r="F3061" s="13">
        <v>2</v>
      </c>
      <c r="G3061" s="14">
        <v>3737.35</v>
      </c>
      <c r="H3061" s="13">
        <v>105</v>
      </c>
      <c r="I3061" t="s">
        <v>76</v>
      </c>
    </row>
    <row r="3062" spans="1:9" x14ac:dyDescent="0.3">
      <c r="A3062">
        <v>8376</v>
      </c>
      <c r="B3062" t="s">
        <v>153</v>
      </c>
      <c r="C3062" t="s">
        <v>97</v>
      </c>
      <c r="D3062" t="s">
        <v>65</v>
      </c>
      <c r="E3062" t="s">
        <v>1901</v>
      </c>
      <c r="F3062" s="13">
        <v>3</v>
      </c>
      <c r="G3062" s="14">
        <v>10645.04</v>
      </c>
      <c r="H3062" s="13">
        <v>105</v>
      </c>
      <c r="I3062" t="s">
        <v>76</v>
      </c>
    </row>
    <row r="3063" spans="1:9" x14ac:dyDescent="0.3">
      <c r="A3063">
        <v>221</v>
      </c>
      <c r="B3063" t="s">
        <v>1905</v>
      </c>
      <c r="C3063" t="s">
        <v>92</v>
      </c>
      <c r="D3063" t="s">
        <v>64</v>
      </c>
      <c r="E3063" t="s">
        <v>1906</v>
      </c>
      <c r="F3063" s="13">
        <v>2</v>
      </c>
      <c r="G3063" s="14">
        <v>6529.46</v>
      </c>
      <c r="H3063" s="13">
        <v>104</v>
      </c>
      <c r="I3063" t="s">
        <v>76</v>
      </c>
    </row>
    <row r="3064" spans="1:9" x14ac:dyDescent="0.3">
      <c r="A3064">
        <v>1032</v>
      </c>
      <c r="B3064" t="s">
        <v>259</v>
      </c>
      <c r="C3064" t="s">
        <v>137</v>
      </c>
      <c r="D3064" t="s">
        <v>64</v>
      </c>
      <c r="E3064" t="s">
        <v>1906</v>
      </c>
      <c r="F3064" s="13">
        <v>1</v>
      </c>
      <c r="G3064" s="14">
        <v>4031.75</v>
      </c>
      <c r="H3064" s="13">
        <v>104</v>
      </c>
      <c r="I3064" t="s">
        <v>76</v>
      </c>
    </row>
    <row r="3065" spans="1:9" x14ac:dyDescent="0.3">
      <c r="A3065">
        <v>1113</v>
      </c>
      <c r="B3065" t="s">
        <v>1907</v>
      </c>
      <c r="C3065" t="s">
        <v>92</v>
      </c>
      <c r="D3065" t="s">
        <v>64</v>
      </c>
      <c r="E3065" t="s">
        <v>1906</v>
      </c>
      <c r="F3065" s="13">
        <v>2</v>
      </c>
      <c r="G3065" s="14">
        <v>973.21</v>
      </c>
      <c r="H3065" s="13">
        <v>104</v>
      </c>
      <c r="I3065" t="s">
        <v>76</v>
      </c>
    </row>
    <row r="3066" spans="1:9" x14ac:dyDescent="0.3">
      <c r="A3066">
        <v>1541</v>
      </c>
      <c r="B3066" t="s">
        <v>1908</v>
      </c>
      <c r="C3066" t="s">
        <v>123</v>
      </c>
      <c r="D3066" t="s">
        <v>65</v>
      </c>
      <c r="E3066" t="s">
        <v>1906</v>
      </c>
      <c r="F3066" s="13">
        <v>1</v>
      </c>
      <c r="G3066" s="14">
        <v>519.33000000000004</v>
      </c>
      <c r="H3066" s="13">
        <v>104</v>
      </c>
      <c r="I3066" t="s">
        <v>76</v>
      </c>
    </row>
    <row r="3067" spans="1:9" x14ac:dyDescent="0.3">
      <c r="A3067">
        <v>2000</v>
      </c>
      <c r="B3067" t="s">
        <v>1909</v>
      </c>
      <c r="C3067" t="s">
        <v>133</v>
      </c>
      <c r="D3067" t="s">
        <v>64</v>
      </c>
      <c r="E3067" t="s">
        <v>1906</v>
      </c>
      <c r="F3067" s="13">
        <v>1</v>
      </c>
      <c r="G3067" s="14">
        <v>3764.85</v>
      </c>
      <c r="H3067" s="13">
        <v>104</v>
      </c>
      <c r="I3067" t="s">
        <v>76</v>
      </c>
    </row>
    <row r="3068" spans="1:9" x14ac:dyDescent="0.3">
      <c r="A3068">
        <v>2292</v>
      </c>
      <c r="B3068" t="s">
        <v>302</v>
      </c>
      <c r="C3068" t="s">
        <v>92</v>
      </c>
      <c r="D3068" t="s">
        <v>64</v>
      </c>
      <c r="E3068" t="s">
        <v>1906</v>
      </c>
      <c r="F3068" s="13">
        <v>4</v>
      </c>
      <c r="G3068" s="14">
        <v>3814.99</v>
      </c>
      <c r="H3068" s="13">
        <v>104</v>
      </c>
      <c r="I3068" t="s">
        <v>76</v>
      </c>
    </row>
    <row r="3069" spans="1:9" x14ac:dyDescent="0.3">
      <c r="A3069">
        <v>2677</v>
      </c>
      <c r="B3069" t="s">
        <v>1910</v>
      </c>
      <c r="C3069" t="s">
        <v>103</v>
      </c>
      <c r="D3069" t="s">
        <v>67</v>
      </c>
      <c r="E3069" t="s">
        <v>1906</v>
      </c>
      <c r="F3069" s="13">
        <v>1</v>
      </c>
      <c r="G3069" s="14">
        <v>369.46</v>
      </c>
      <c r="H3069" s="13">
        <v>104</v>
      </c>
      <c r="I3069" t="s">
        <v>76</v>
      </c>
    </row>
    <row r="3070" spans="1:9" x14ac:dyDescent="0.3">
      <c r="A3070">
        <v>2732</v>
      </c>
      <c r="B3070" t="s">
        <v>694</v>
      </c>
      <c r="C3070" t="s">
        <v>92</v>
      </c>
      <c r="D3070" t="s">
        <v>64</v>
      </c>
      <c r="E3070" t="s">
        <v>1906</v>
      </c>
      <c r="F3070" s="13">
        <v>1</v>
      </c>
      <c r="G3070" s="14">
        <v>1227.8800000000001</v>
      </c>
      <c r="H3070" s="13">
        <v>104</v>
      </c>
      <c r="I3070" t="s">
        <v>76</v>
      </c>
    </row>
    <row r="3071" spans="1:9" x14ac:dyDescent="0.3">
      <c r="A3071">
        <v>3291</v>
      </c>
      <c r="B3071" t="s">
        <v>582</v>
      </c>
      <c r="C3071" t="s">
        <v>92</v>
      </c>
      <c r="D3071" t="s">
        <v>64</v>
      </c>
      <c r="E3071" t="s">
        <v>1906</v>
      </c>
      <c r="F3071" s="13">
        <v>1</v>
      </c>
      <c r="G3071" s="14">
        <v>3064.83</v>
      </c>
      <c r="H3071" s="13">
        <v>104</v>
      </c>
      <c r="I3071" t="s">
        <v>76</v>
      </c>
    </row>
    <row r="3072" spans="1:9" x14ac:dyDescent="0.3">
      <c r="A3072">
        <v>3826</v>
      </c>
      <c r="B3072" t="s">
        <v>543</v>
      </c>
      <c r="C3072" t="s">
        <v>92</v>
      </c>
      <c r="D3072" t="s">
        <v>64</v>
      </c>
      <c r="E3072" t="s">
        <v>1906</v>
      </c>
      <c r="F3072" s="13">
        <v>2</v>
      </c>
      <c r="G3072" s="14">
        <v>1840.77</v>
      </c>
      <c r="H3072" s="13">
        <v>104</v>
      </c>
      <c r="I3072" t="s">
        <v>76</v>
      </c>
    </row>
    <row r="3073" spans="1:9" x14ac:dyDescent="0.3">
      <c r="A3073">
        <v>3862</v>
      </c>
      <c r="B3073" t="s">
        <v>274</v>
      </c>
      <c r="C3073" t="s">
        <v>133</v>
      </c>
      <c r="D3073" t="s">
        <v>64</v>
      </c>
      <c r="E3073" t="s">
        <v>1906</v>
      </c>
      <c r="F3073" s="13">
        <v>1</v>
      </c>
      <c r="G3073" s="14">
        <v>192.58</v>
      </c>
      <c r="H3073" s="13">
        <v>104</v>
      </c>
      <c r="I3073" t="s">
        <v>76</v>
      </c>
    </row>
    <row r="3074" spans="1:9" x14ac:dyDescent="0.3">
      <c r="A3074">
        <v>4096</v>
      </c>
      <c r="B3074" t="s">
        <v>386</v>
      </c>
      <c r="C3074" t="s">
        <v>133</v>
      </c>
      <c r="D3074" t="s">
        <v>64</v>
      </c>
      <c r="E3074" t="s">
        <v>1906</v>
      </c>
      <c r="F3074" s="13">
        <v>3</v>
      </c>
      <c r="G3074" s="14">
        <v>5164.04</v>
      </c>
      <c r="H3074" s="13">
        <v>104</v>
      </c>
      <c r="I3074" t="s">
        <v>76</v>
      </c>
    </row>
    <row r="3075" spans="1:9" x14ac:dyDescent="0.3">
      <c r="A3075">
        <v>4980</v>
      </c>
      <c r="B3075" t="s">
        <v>532</v>
      </c>
      <c r="C3075" t="s">
        <v>137</v>
      </c>
      <c r="D3075" t="s">
        <v>64</v>
      </c>
      <c r="E3075" t="s">
        <v>1906</v>
      </c>
      <c r="F3075" s="13">
        <v>2</v>
      </c>
      <c r="G3075" s="14">
        <v>824.2</v>
      </c>
      <c r="H3075" s="13">
        <v>104</v>
      </c>
      <c r="I3075" t="s">
        <v>76</v>
      </c>
    </row>
    <row r="3076" spans="1:9" x14ac:dyDescent="0.3">
      <c r="A3076">
        <v>5187</v>
      </c>
      <c r="B3076" t="s">
        <v>385</v>
      </c>
      <c r="C3076" t="s">
        <v>92</v>
      </c>
      <c r="D3076" t="s">
        <v>64</v>
      </c>
      <c r="E3076" t="s">
        <v>1906</v>
      </c>
      <c r="F3076" s="13">
        <v>4</v>
      </c>
      <c r="G3076" s="14">
        <v>8722.02</v>
      </c>
      <c r="H3076" s="13">
        <v>104</v>
      </c>
      <c r="I3076" t="s">
        <v>76</v>
      </c>
    </row>
    <row r="3077" spans="1:9" x14ac:dyDescent="0.3">
      <c r="A3077">
        <v>5876</v>
      </c>
      <c r="B3077" t="s">
        <v>1911</v>
      </c>
      <c r="C3077" t="s">
        <v>114</v>
      </c>
      <c r="D3077" t="s">
        <v>66</v>
      </c>
      <c r="E3077" t="s">
        <v>1906</v>
      </c>
      <c r="F3077" s="13">
        <v>1</v>
      </c>
      <c r="G3077" s="14">
        <v>3100.97</v>
      </c>
      <c r="H3077" s="13">
        <v>104</v>
      </c>
      <c r="I3077" t="s">
        <v>76</v>
      </c>
    </row>
    <row r="3078" spans="1:9" x14ac:dyDescent="0.3">
      <c r="A3078">
        <v>5919</v>
      </c>
      <c r="B3078" t="s">
        <v>1912</v>
      </c>
      <c r="C3078" t="s">
        <v>92</v>
      </c>
      <c r="D3078" t="s">
        <v>64</v>
      </c>
      <c r="E3078" t="s">
        <v>1906</v>
      </c>
      <c r="F3078" s="13">
        <v>2</v>
      </c>
      <c r="G3078" s="14">
        <v>1344.75</v>
      </c>
      <c r="H3078" s="13">
        <v>104</v>
      </c>
      <c r="I3078" t="s">
        <v>76</v>
      </c>
    </row>
    <row r="3079" spans="1:9" x14ac:dyDescent="0.3">
      <c r="A3079">
        <v>6057</v>
      </c>
      <c r="B3079" t="s">
        <v>1149</v>
      </c>
      <c r="C3079" t="s">
        <v>133</v>
      </c>
      <c r="D3079" t="s">
        <v>64</v>
      </c>
      <c r="E3079" t="s">
        <v>1906</v>
      </c>
      <c r="F3079" s="13">
        <v>4</v>
      </c>
      <c r="G3079" s="14">
        <v>5010.74</v>
      </c>
      <c r="H3079" s="13">
        <v>104</v>
      </c>
      <c r="I3079" t="s">
        <v>76</v>
      </c>
    </row>
    <row r="3080" spans="1:9" x14ac:dyDescent="0.3">
      <c r="A3080">
        <v>6329</v>
      </c>
      <c r="B3080" t="s">
        <v>1913</v>
      </c>
      <c r="C3080" t="s">
        <v>90</v>
      </c>
      <c r="D3080" t="s">
        <v>66</v>
      </c>
      <c r="E3080" t="s">
        <v>1906</v>
      </c>
      <c r="F3080" s="13">
        <v>2</v>
      </c>
      <c r="G3080" s="14">
        <v>9601.02</v>
      </c>
      <c r="H3080" s="13">
        <v>104</v>
      </c>
      <c r="I3080" t="s">
        <v>76</v>
      </c>
    </row>
    <row r="3081" spans="1:9" x14ac:dyDescent="0.3">
      <c r="A3081">
        <v>6419</v>
      </c>
      <c r="B3081" t="s">
        <v>1914</v>
      </c>
      <c r="C3081" t="s">
        <v>92</v>
      </c>
      <c r="D3081" t="s">
        <v>64</v>
      </c>
      <c r="E3081" t="s">
        <v>1906</v>
      </c>
      <c r="F3081" s="13">
        <v>1</v>
      </c>
      <c r="G3081" s="14">
        <v>1400.56</v>
      </c>
      <c r="H3081" s="13">
        <v>104</v>
      </c>
      <c r="I3081" t="s">
        <v>76</v>
      </c>
    </row>
    <row r="3082" spans="1:9" x14ac:dyDescent="0.3">
      <c r="A3082">
        <v>6974</v>
      </c>
      <c r="B3082" t="s">
        <v>509</v>
      </c>
      <c r="C3082" t="s">
        <v>137</v>
      </c>
      <c r="D3082" t="s">
        <v>64</v>
      </c>
      <c r="E3082" t="s">
        <v>1906</v>
      </c>
      <c r="F3082" s="13">
        <v>5</v>
      </c>
      <c r="G3082" s="14">
        <v>1997.09</v>
      </c>
      <c r="H3082" s="13">
        <v>104</v>
      </c>
      <c r="I3082" t="s">
        <v>76</v>
      </c>
    </row>
    <row r="3083" spans="1:9" x14ac:dyDescent="0.3">
      <c r="A3083">
        <v>7408</v>
      </c>
      <c r="B3083" t="s">
        <v>1592</v>
      </c>
      <c r="C3083" t="s">
        <v>97</v>
      </c>
      <c r="D3083" t="s">
        <v>65</v>
      </c>
      <c r="E3083" t="s">
        <v>1906</v>
      </c>
      <c r="F3083" s="13">
        <v>2</v>
      </c>
      <c r="G3083" s="14">
        <v>631.51</v>
      </c>
      <c r="H3083" s="13">
        <v>104</v>
      </c>
      <c r="I3083" t="s">
        <v>76</v>
      </c>
    </row>
    <row r="3084" spans="1:9" x14ac:dyDescent="0.3">
      <c r="A3084">
        <v>8287</v>
      </c>
      <c r="B3084" t="s">
        <v>878</v>
      </c>
      <c r="C3084" t="s">
        <v>133</v>
      </c>
      <c r="D3084" t="s">
        <v>64</v>
      </c>
      <c r="E3084" t="s">
        <v>1906</v>
      </c>
      <c r="F3084" s="13">
        <v>1</v>
      </c>
      <c r="G3084" s="14">
        <v>157.31</v>
      </c>
      <c r="H3084" s="13">
        <v>104</v>
      </c>
      <c r="I3084" t="s">
        <v>76</v>
      </c>
    </row>
    <row r="3085" spans="1:9" x14ac:dyDescent="0.3">
      <c r="A3085">
        <v>172</v>
      </c>
      <c r="B3085" t="s">
        <v>436</v>
      </c>
      <c r="C3085" t="s">
        <v>92</v>
      </c>
      <c r="D3085" t="s">
        <v>64</v>
      </c>
      <c r="E3085" t="s">
        <v>1915</v>
      </c>
      <c r="F3085" s="13">
        <v>1</v>
      </c>
      <c r="G3085" s="14">
        <v>1602.01</v>
      </c>
      <c r="H3085" s="13">
        <v>103</v>
      </c>
      <c r="I3085" t="s">
        <v>76</v>
      </c>
    </row>
    <row r="3086" spans="1:9" x14ac:dyDescent="0.3">
      <c r="A3086">
        <v>652</v>
      </c>
      <c r="B3086" t="s">
        <v>1916</v>
      </c>
      <c r="C3086" t="s">
        <v>123</v>
      </c>
      <c r="D3086" t="s">
        <v>65</v>
      </c>
      <c r="E3086" t="s">
        <v>1915</v>
      </c>
      <c r="F3086" s="13">
        <v>1</v>
      </c>
      <c r="G3086" s="14">
        <v>3174.73</v>
      </c>
      <c r="H3086" s="13">
        <v>103</v>
      </c>
      <c r="I3086" t="s">
        <v>76</v>
      </c>
    </row>
    <row r="3087" spans="1:9" x14ac:dyDescent="0.3">
      <c r="A3087">
        <v>912</v>
      </c>
      <c r="B3087" t="s">
        <v>1917</v>
      </c>
      <c r="C3087" t="s">
        <v>92</v>
      </c>
      <c r="D3087" t="s">
        <v>64</v>
      </c>
      <c r="E3087" t="s">
        <v>1915</v>
      </c>
      <c r="F3087" s="13">
        <v>2</v>
      </c>
      <c r="G3087" s="14">
        <v>3186.84</v>
      </c>
      <c r="H3087" s="13">
        <v>103</v>
      </c>
      <c r="I3087" t="s">
        <v>76</v>
      </c>
    </row>
    <row r="3088" spans="1:9" x14ac:dyDescent="0.3">
      <c r="A3088">
        <v>2434</v>
      </c>
      <c r="B3088" t="s">
        <v>1025</v>
      </c>
      <c r="C3088" t="s">
        <v>137</v>
      </c>
      <c r="D3088" t="s">
        <v>64</v>
      </c>
      <c r="E3088" t="s">
        <v>1915</v>
      </c>
      <c r="F3088" s="13">
        <v>1</v>
      </c>
      <c r="G3088" s="14">
        <v>404.87</v>
      </c>
      <c r="H3088" s="13">
        <v>103</v>
      </c>
      <c r="I3088" t="s">
        <v>76</v>
      </c>
    </row>
    <row r="3089" spans="1:9" x14ac:dyDescent="0.3">
      <c r="A3089">
        <v>2548</v>
      </c>
      <c r="B3089" t="s">
        <v>1918</v>
      </c>
      <c r="C3089" t="s">
        <v>92</v>
      </c>
      <c r="D3089" t="s">
        <v>64</v>
      </c>
      <c r="E3089" t="s">
        <v>1915</v>
      </c>
      <c r="F3089" s="13">
        <v>2</v>
      </c>
      <c r="G3089" s="14">
        <v>2499.4899999999998</v>
      </c>
      <c r="H3089" s="13">
        <v>103</v>
      </c>
      <c r="I3089" t="s">
        <v>76</v>
      </c>
    </row>
    <row r="3090" spans="1:9" x14ac:dyDescent="0.3">
      <c r="A3090">
        <v>2854</v>
      </c>
      <c r="B3090" t="s">
        <v>1389</v>
      </c>
      <c r="C3090" t="s">
        <v>114</v>
      </c>
      <c r="D3090" t="s">
        <v>66</v>
      </c>
      <c r="E3090" t="s">
        <v>1915</v>
      </c>
      <c r="F3090" s="13">
        <v>2</v>
      </c>
      <c r="G3090" s="14">
        <v>7154.33</v>
      </c>
      <c r="H3090" s="13">
        <v>103</v>
      </c>
      <c r="I3090" t="s">
        <v>76</v>
      </c>
    </row>
    <row r="3091" spans="1:9" x14ac:dyDescent="0.3">
      <c r="A3091">
        <v>3078</v>
      </c>
      <c r="B3091" t="s">
        <v>333</v>
      </c>
      <c r="C3091" t="s">
        <v>87</v>
      </c>
      <c r="D3091" t="s">
        <v>64</v>
      </c>
      <c r="E3091" t="s">
        <v>1915</v>
      </c>
      <c r="F3091" s="13">
        <v>3</v>
      </c>
      <c r="G3091" s="14">
        <v>10530.16</v>
      </c>
      <c r="H3091" s="13">
        <v>103</v>
      </c>
      <c r="I3091" t="s">
        <v>76</v>
      </c>
    </row>
    <row r="3092" spans="1:9" x14ac:dyDescent="0.3">
      <c r="A3092">
        <v>3163</v>
      </c>
      <c r="B3092" t="s">
        <v>1919</v>
      </c>
      <c r="C3092" t="s">
        <v>137</v>
      </c>
      <c r="D3092" t="s">
        <v>64</v>
      </c>
      <c r="E3092" t="s">
        <v>1915</v>
      </c>
      <c r="F3092" s="13">
        <v>3</v>
      </c>
      <c r="G3092" s="14">
        <v>6963.34</v>
      </c>
      <c r="H3092" s="13">
        <v>103</v>
      </c>
      <c r="I3092" t="s">
        <v>76</v>
      </c>
    </row>
    <row r="3093" spans="1:9" x14ac:dyDescent="0.3">
      <c r="A3093">
        <v>3189</v>
      </c>
      <c r="B3093" t="s">
        <v>738</v>
      </c>
      <c r="C3093" t="s">
        <v>249</v>
      </c>
      <c r="D3093" t="s">
        <v>67</v>
      </c>
      <c r="E3093" t="s">
        <v>1915</v>
      </c>
      <c r="F3093" s="13">
        <v>1</v>
      </c>
      <c r="G3093" s="14">
        <v>6893.32</v>
      </c>
      <c r="H3093" s="13">
        <v>103</v>
      </c>
      <c r="I3093" t="s">
        <v>76</v>
      </c>
    </row>
    <row r="3094" spans="1:9" x14ac:dyDescent="0.3">
      <c r="A3094">
        <v>4829</v>
      </c>
      <c r="B3094" t="s">
        <v>514</v>
      </c>
      <c r="C3094" t="s">
        <v>97</v>
      </c>
      <c r="D3094" t="s">
        <v>65</v>
      </c>
      <c r="E3094" t="s">
        <v>1915</v>
      </c>
      <c r="F3094" s="13">
        <v>4</v>
      </c>
      <c r="G3094" s="14">
        <v>4574.84</v>
      </c>
      <c r="H3094" s="13">
        <v>103</v>
      </c>
      <c r="I3094" t="s">
        <v>76</v>
      </c>
    </row>
    <row r="3095" spans="1:9" x14ac:dyDescent="0.3">
      <c r="A3095">
        <v>5026</v>
      </c>
      <c r="B3095" t="s">
        <v>1920</v>
      </c>
      <c r="C3095" t="s">
        <v>137</v>
      </c>
      <c r="D3095" t="s">
        <v>64</v>
      </c>
      <c r="E3095" t="s">
        <v>1915</v>
      </c>
      <c r="F3095" s="13">
        <v>1</v>
      </c>
      <c r="G3095" s="14">
        <v>335.86</v>
      </c>
      <c r="H3095" s="13">
        <v>103</v>
      </c>
      <c r="I3095" t="s">
        <v>76</v>
      </c>
    </row>
    <row r="3096" spans="1:9" x14ac:dyDescent="0.3">
      <c r="A3096">
        <v>5249</v>
      </c>
      <c r="B3096" t="s">
        <v>1921</v>
      </c>
      <c r="C3096" t="s">
        <v>123</v>
      </c>
      <c r="D3096" t="s">
        <v>65</v>
      </c>
      <c r="E3096" t="s">
        <v>1915</v>
      </c>
      <c r="F3096" s="13">
        <v>3</v>
      </c>
      <c r="G3096" s="14">
        <v>3253.46</v>
      </c>
      <c r="H3096" s="13">
        <v>103</v>
      </c>
      <c r="I3096" t="s">
        <v>76</v>
      </c>
    </row>
    <row r="3097" spans="1:9" x14ac:dyDescent="0.3">
      <c r="A3097">
        <v>5966</v>
      </c>
      <c r="B3097" t="s">
        <v>1922</v>
      </c>
      <c r="C3097" t="s">
        <v>87</v>
      </c>
      <c r="D3097" t="s">
        <v>64</v>
      </c>
      <c r="E3097" t="s">
        <v>1915</v>
      </c>
      <c r="F3097" s="13">
        <v>6</v>
      </c>
      <c r="G3097" s="14">
        <v>15360.45</v>
      </c>
      <c r="H3097" s="13">
        <v>103</v>
      </c>
      <c r="I3097" t="s">
        <v>76</v>
      </c>
    </row>
    <row r="3098" spans="1:9" x14ac:dyDescent="0.3">
      <c r="A3098">
        <v>6104</v>
      </c>
      <c r="B3098" t="s">
        <v>286</v>
      </c>
      <c r="C3098" t="s">
        <v>114</v>
      </c>
      <c r="D3098" t="s">
        <v>66</v>
      </c>
      <c r="E3098" t="s">
        <v>1915</v>
      </c>
      <c r="F3098" s="13">
        <v>2</v>
      </c>
      <c r="G3098" s="14">
        <v>2123.2800000000002</v>
      </c>
      <c r="H3098" s="13">
        <v>103</v>
      </c>
      <c r="I3098" t="s">
        <v>76</v>
      </c>
    </row>
    <row r="3099" spans="1:9" x14ac:dyDescent="0.3">
      <c r="A3099">
        <v>6435</v>
      </c>
      <c r="B3099" t="s">
        <v>1923</v>
      </c>
      <c r="C3099" t="s">
        <v>100</v>
      </c>
      <c r="D3099" t="s">
        <v>66</v>
      </c>
      <c r="E3099" t="s">
        <v>1915</v>
      </c>
      <c r="F3099" s="13">
        <v>1</v>
      </c>
      <c r="G3099" s="14">
        <v>968.64</v>
      </c>
      <c r="H3099" s="13">
        <v>103</v>
      </c>
      <c r="I3099" t="s">
        <v>76</v>
      </c>
    </row>
    <row r="3100" spans="1:9" x14ac:dyDescent="0.3">
      <c r="A3100">
        <v>6494</v>
      </c>
      <c r="B3100" t="s">
        <v>1924</v>
      </c>
      <c r="C3100" t="s">
        <v>133</v>
      </c>
      <c r="D3100" t="s">
        <v>64</v>
      </c>
      <c r="E3100" t="s">
        <v>1915</v>
      </c>
      <c r="F3100" s="13">
        <v>2</v>
      </c>
      <c r="G3100" s="14">
        <v>1961.15</v>
      </c>
      <c r="H3100" s="13">
        <v>103</v>
      </c>
      <c r="I3100" t="s">
        <v>76</v>
      </c>
    </row>
    <row r="3101" spans="1:9" x14ac:dyDescent="0.3">
      <c r="A3101">
        <v>6634</v>
      </c>
      <c r="B3101" t="s">
        <v>253</v>
      </c>
      <c r="C3101" t="s">
        <v>133</v>
      </c>
      <c r="D3101" t="s">
        <v>64</v>
      </c>
      <c r="E3101" t="s">
        <v>1915</v>
      </c>
      <c r="F3101" s="13">
        <v>3</v>
      </c>
      <c r="G3101" s="14">
        <v>6971</v>
      </c>
      <c r="H3101" s="13">
        <v>103</v>
      </c>
      <c r="I3101" t="s">
        <v>76</v>
      </c>
    </row>
    <row r="3102" spans="1:9" x14ac:dyDescent="0.3">
      <c r="A3102">
        <v>7134</v>
      </c>
      <c r="B3102" t="s">
        <v>991</v>
      </c>
      <c r="C3102" t="s">
        <v>92</v>
      </c>
      <c r="D3102" t="s">
        <v>64</v>
      </c>
      <c r="E3102" t="s">
        <v>1915</v>
      </c>
      <c r="F3102" s="13">
        <v>7</v>
      </c>
      <c r="G3102" s="14">
        <v>7006.32</v>
      </c>
      <c r="H3102" s="13">
        <v>103</v>
      </c>
      <c r="I3102" t="s">
        <v>76</v>
      </c>
    </row>
    <row r="3103" spans="1:9" x14ac:dyDescent="0.3">
      <c r="A3103">
        <v>7697</v>
      </c>
      <c r="B3103" t="s">
        <v>1925</v>
      </c>
      <c r="C3103" t="s">
        <v>87</v>
      </c>
      <c r="D3103" t="s">
        <v>64</v>
      </c>
      <c r="E3103" t="s">
        <v>1915</v>
      </c>
      <c r="F3103" s="13">
        <v>2</v>
      </c>
      <c r="G3103" s="14">
        <v>1632.94</v>
      </c>
      <c r="H3103" s="13">
        <v>103</v>
      </c>
      <c r="I3103" t="s">
        <v>76</v>
      </c>
    </row>
    <row r="3104" spans="1:9" x14ac:dyDescent="0.3">
      <c r="A3104">
        <v>7960</v>
      </c>
      <c r="B3104" t="s">
        <v>510</v>
      </c>
      <c r="C3104" t="s">
        <v>133</v>
      </c>
      <c r="D3104" t="s">
        <v>64</v>
      </c>
      <c r="E3104" t="s">
        <v>1915</v>
      </c>
      <c r="F3104" s="13">
        <v>2</v>
      </c>
      <c r="G3104" s="14">
        <v>6643.98</v>
      </c>
      <c r="H3104" s="13">
        <v>103</v>
      </c>
      <c r="I3104" t="s">
        <v>76</v>
      </c>
    </row>
    <row r="3105" spans="1:9" x14ac:dyDescent="0.3">
      <c r="A3105">
        <v>8897</v>
      </c>
      <c r="B3105" t="s">
        <v>1926</v>
      </c>
      <c r="C3105" t="s">
        <v>137</v>
      </c>
      <c r="D3105" t="s">
        <v>64</v>
      </c>
      <c r="E3105" t="s">
        <v>1915</v>
      </c>
      <c r="F3105" s="13">
        <v>1</v>
      </c>
      <c r="G3105" s="14">
        <v>1709.55</v>
      </c>
      <c r="H3105" s="13">
        <v>103</v>
      </c>
      <c r="I3105" t="s">
        <v>76</v>
      </c>
    </row>
    <row r="3106" spans="1:9" x14ac:dyDescent="0.3">
      <c r="A3106">
        <v>249</v>
      </c>
      <c r="B3106" t="s">
        <v>1927</v>
      </c>
      <c r="C3106" t="s">
        <v>92</v>
      </c>
      <c r="D3106" t="s">
        <v>64</v>
      </c>
      <c r="E3106" t="s">
        <v>1928</v>
      </c>
      <c r="F3106" s="13">
        <v>8</v>
      </c>
      <c r="G3106" s="14">
        <v>10628.64</v>
      </c>
      <c r="H3106" s="13">
        <v>102</v>
      </c>
      <c r="I3106" t="s">
        <v>76</v>
      </c>
    </row>
    <row r="3107" spans="1:9" x14ac:dyDescent="0.3">
      <c r="A3107">
        <v>336</v>
      </c>
      <c r="B3107" t="s">
        <v>1929</v>
      </c>
      <c r="C3107" t="s">
        <v>133</v>
      </c>
      <c r="D3107" t="s">
        <v>64</v>
      </c>
      <c r="E3107" t="s">
        <v>1928</v>
      </c>
      <c r="F3107" s="13">
        <v>2</v>
      </c>
      <c r="G3107" s="14">
        <v>2783.61</v>
      </c>
      <c r="H3107" s="13">
        <v>102</v>
      </c>
      <c r="I3107" t="s">
        <v>76</v>
      </c>
    </row>
    <row r="3108" spans="1:9" x14ac:dyDescent="0.3">
      <c r="A3108">
        <v>557</v>
      </c>
      <c r="B3108" t="s">
        <v>673</v>
      </c>
      <c r="C3108" t="s">
        <v>114</v>
      </c>
      <c r="D3108" t="s">
        <v>66</v>
      </c>
      <c r="E3108" t="s">
        <v>1928</v>
      </c>
      <c r="F3108" s="13">
        <v>11</v>
      </c>
      <c r="G3108" s="14">
        <v>12392.73</v>
      </c>
      <c r="H3108" s="13">
        <v>102</v>
      </c>
      <c r="I3108" t="s">
        <v>76</v>
      </c>
    </row>
    <row r="3109" spans="1:9" x14ac:dyDescent="0.3">
      <c r="A3109">
        <v>675</v>
      </c>
      <c r="B3109" t="s">
        <v>606</v>
      </c>
      <c r="C3109" t="s">
        <v>97</v>
      </c>
      <c r="D3109" t="s">
        <v>65</v>
      </c>
      <c r="E3109" t="s">
        <v>1928</v>
      </c>
      <c r="F3109" s="13">
        <v>2</v>
      </c>
      <c r="G3109" s="14">
        <v>4186.2700000000004</v>
      </c>
      <c r="H3109" s="13">
        <v>102</v>
      </c>
      <c r="I3109" t="s">
        <v>76</v>
      </c>
    </row>
    <row r="3110" spans="1:9" x14ac:dyDescent="0.3">
      <c r="A3110">
        <v>1059</v>
      </c>
      <c r="B3110" t="s">
        <v>1930</v>
      </c>
      <c r="C3110" t="s">
        <v>103</v>
      </c>
      <c r="D3110" t="s">
        <v>67</v>
      </c>
      <c r="E3110" t="s">
        <v>1928</v>
      </c>
      <c r="F3110" s="13">
        <v>3</v>
      </c>
      <c r="G3110" s="14">
        <v>1364.86</v>
      </c>
      <c r="H3110" s="13">
        <v>102</v>
      </c>
      <c r="I3110" t="s">
        <v>76</v>
      </c>
    </row>
    <row r="3111" spans="1:9" x14ac:dyDescent="0.3">
      <c r="A3111">
        <v>1249</v>
      </c>
      <c r="B3111" t="s">
        <v>1931</v>
      </c>
      <c r="C3111" t="s">
        <v>123</v>
      </c>
      <c r="D3111" t="s">
        <v>65</v>
      </c>
      <c r="E3111" t="s">
        <v>1928</v>
      </c>
      <c r="F3111" s="13">
        <v>2</v>
      </c>
      <c r="G3111" s="14">
        <v>4286.0600000000004</v>
      </c>
      <c r="H3111" s="13">
        <v>102</v>
      </c>
      <c r="I3111" t="s">
        <v>76</v>
      </c>
    </row>
    <row r="3112" spans="1:9" x14ac:dyDescent="0.3">
      <c r="A3112">
        <v>1307</v>
      </c>
      <c r="B3112" t="s">
        <v>135</v>
      </c>
      <c r="C3112" t="s">
        <v>133</v>
      </c>
      <c r="D3112" t="s">
        <v>64</v>
      </c>
      <c r="E3112" t="s">
        <v>1928</v>
      </c>
      <c r="F3112" s="13">
        <v>1</v>
      </c>
      <c r="G3112" s="14">
        <v>620.9</v>
      </c>
      <c r="H3112" s="13">
        <v>102</v>
      </c>
      <c r="I3112" t="s">
        <v>76</v>
      </c>
    </row>
    <row r="3113" spans="1:9" x14ac:dyDescent="0.3">
      <c r="A3113">
        <v>1665</v>
      </c>
      <c r="B3113" t="s">
        <v>438</v>
      </c>
      <c r="C3113" t="s">
        <v>90</v>
      </c>
      <c r="D3113" t="s">
        <v>66</v>
      </c>
      <c r="E3113" t="s">
        <v>1928</v>
      </c>
      <c r="F3113" s="13">
        <v>1</v>
      </c>
      <c r="G3113" s="14">
        <v>3321.72</v>
      </c>
      <c r="H3113" s="13">
        <v>102</v>
      </c>
      <c r="I3113" t="s">
        <v>76</v>
      </c>
    </row>
    <row r="3114" spans="1:9" x14ac:dyDescent="0.3">
      <c r="A3114">
        <v>2539</v>
      </c>
      <c r="B3114" t="s">
        <v>205</v>
      </c>
      <c r="C3114" t="s">
        <v>97</v>
      </c>
      <c r="D3114" t="s">
        <v>65</v>
      </c>
      <c r="E3114" t="s">
        <v>1928</v>
      </c>
      <c r="F3114" s="13">
        <v>1</v>
      </c>
      <c r="G3114" s="14">
        <v>551.52</v>
      </c>
      <c r="H3114" s="13">
        <v>102</v>
      </c>
      <c r="I3114" t="s">
        <v>76</v>
      </c>
    </row>
    <row r="3115" spans="1:9" x14ac:dyDescent="0.3">
      <c r="A3115">
        <v>2695</v>
      </c>
      <c r="B3115" t="s">
        <v>751</v>
      </c>
      <c r="C3115" t="s">
        <v>133</v>
      </c>
      <c r="D3115" t="s">
        <v>64</v>
      </c>
      <c r="E3115" t="s">
        <v>1928</v>
      </c>
      <c r="F3115" s="13">
        <v>9</v>
      </c>
      <c r="G3115" s="14">
        <v>16806.93</v>
      </c>
      <c r="H3115" s="13">
        <v>102</v>
      </c>
      <c r="I3115" t="s">
        <v>76</v>
      </c>
    </row>
    <row r="3116" spans="1:9" x14ac:dyDescent="0.3">
      <c r="A3116">
        <v>2715</v>
      </c>
      <c r="B3116" t="s">
        <v>1932</v>
      </c>
      <c r="C3116" t="s">
        <v>92</v>
      </c>
      <c r="D3116" t="s">
        <v>64</v>
      </c>
      <c r="E3116" t="s">
        <v>1928</v>
      </c>
      <c r="F3116" s="13">
        <v>2</v>
      </c>
      <c r="G3116" s="14">
        <v>5692.66</v>
      </c>
      <c r="H3116" s="13">
        <v>102</v>
      </c>
      <c r="I3116" t="s">
        <v>76</v>
      </c>
    </row>
    <row r="3117" spans="1:9" x14ac:dyDescent="0.3">
      <c r="A3117">
        <v>2870</v>
      </c>
      <c r="B3117" t="s">
        <v>1933</v>
      </c>
      <c r="C3117" t="s">
        <v>97</v>
      </c>
      <c r="D3117" t="s">
        <v>65</v>
      </c>
      <c r="E3117" t="s">
        <v>1928</v>
      </c>
      <c r="F3117" s="13">
        <v>1</v>
      </c>
      <c r="G3117" s="14">
        <v>447.96</v>
      </c>
      <c r="H3117" s="13">
        <v>102</v>
      </c>
      <c r="I3117" t="s">
        <v>76</v>
      </c>
    </row>
    <row r="3118" spans="1:9" x14ac:dyDescent="0.3">
      <c r="A3118">
        <v>3188</v>
      </c>
      <c r="B3118" t="s">
        <v>1458</v>
      </c>
      <c r="C3118" t="s">
        <v>92</v>
      </c>
      <c r="D3118" t="s">
        <v>64</v>
      </c>
      <c r="E3118" t="s">
        <v>1928</v>
      </c>
      <c r="F3118" s="13">
        <v>1</v>
      </c>
      <c r="G3118" s="14">
        <v>488.14</v>
      </c>
      <c r="H3118" s="13">
        <v>102</v>
      </c>
      <c r="I3118" t="s">
        <v>76</v>
      </c>
    </row>
    <row r="3119" spans="1:9" x14ac:dyDescent="0.3">
      <c r="A3119">
        <v>4048</v>
      </c>
      <c r="B3119" t="s">
        <v>691</v>
      </c>
      <c r="C3119" t="s">
        <v>137</v>
      </c>
      <c r="D3119" t="s">
        <v>64</v>
      </c>
      <c r="E3119" t="s">
        <v>1928</v>
      </c>
      <c r="F3119" s="13">
        <v>8</v>
      </c>
      <c r="G3119" s="14">
        <v>17115.05</v>
      </c>
      <c r="H3119" s="13">
        <v>102</v>
      </c>
      <c r="I3119" t="s">
        <v>76</v>
      </c>
    </row>
    <row r="3120" spans="1:9" x14ac:dyDescent="0.3">
      <c r="A3120">
        <v>4318</v>
      </c>
      <c r="B3120" t="s">
        <v>623</v>
      </c>
      <c r="C3120" t="s">
        <v>92</v>
      </c>
      <c r="D3120" t="s">
        <v>64</v>
      </c>
      <c r="E3120" t="s">
        <v>1928</v>
      </c>
      <c r="F3120" s="13">
        <v>2</v>
      </c>
      <c r="G3120" s="14">
        <v>1997.22</v>
      </c>
      <c r="H3120" s="13">
        <v>102</v>
      </c>
      <c r="I3120" t="s">
        <v>76</v>
      </c>
    </row>
    <row r="3121" spans="1:9" x14ac:dyDescent="0.3">
      <c r="A3121">
        <v>4658</v>
      </c>
      <c r="B3121" t="s">
        <v>465</v>
      </c>
      <c r="C3121" t="s">
        <v>133</v>
      </c>
      <c r="D3121" t="s">
        <v>64</v>
      </c>
      <c r="E3121" t="s">
        <v>1928</v>
      </c>
      <c r="F3121" s="13">
        <v>3</v>
      </c>
      <c r="G3121" s="14">
        <v>5277.66</v>
      </c>
      <c r="H3121" s="13">
        <v>102</v>
      </c>
      <c r="I3121" t="s">
        <v>76</v>
      </c>
    </row>
    <row r="3122" spans="1:9" x14ac:dyDescent="0.3">
      <c r="A3122">
        <v>4807</v>
      </c>
      <c r="B3122" t="s">
        <v>1210</v>
      </c>
      <c r="C3122" t="s">
        <v>121</v>
      </c>
      <c r="D3122" t="s">
        <v>67</v>
      </c>
      <c r="E3122" t="s">
        <v>1928</v>
      </c>
      <c r="F3122" s="13">
        <v>2</v>
      </c>
      <c r="G3122" s="14">
        <v>3780.18</v>
      </c>
      <c r="H3122" s="13">
        <v>102</v>
      </c>
      <c r="I3122" t="s">
        <v>76</v>
      </c>
    </row>
    <row r="3123" spans="1:9" x14ac:dyDescent="0.3">
      <c r="A3123">
        <v>5459</v>
      </c>
      <c r="B3123" t="s">
        <v>199</v>
      </c>
      <c r="C3123" t="s">
        <v>90</v>
      </c>
      <c r="D3123" t="s">
        <v>66</v>
      </c>
      <c r="E3123" t="s">
        <v>1928</v>
      </c>
      <c r="F3123" s="13">
        <v>2</v>
      </c>
      <c r="G3123" s="14">
        <v>600.23</v>
      </c>
      <c r="H3123" s="13">
        <v>102</v>
      </c>
      <c r="I3123" t="s">
        <v>76</v>
      </c>
    </row>
    <row r="3124" spans="1:9" x14ac:dyDescent="0.3">
      <c r="A3124">
        <v>5497</v>
      </c>
      <c r="B3124" t="s">
        <v>1934</v>
      </c>
      <c r="C3124" t="s">
        <v>137</v>
      </c>
      <c r="D3124" t="s">
        <v>64</v>
      </c>
      <c r="E3124" t="s">
        <v>1928</v>
      </c>
      <c r="F3124" s="13">
        <v>2</v>
      </c>
      <c r="G3124" s="14">
        <v>3298.45</v>
      </c>
      <c r="H3124" s="13">
        <v>102</v>
      </c>
      <c r="I3124" t="s">
        <v>76</v>
      </c>
    </row>
    <row r="3125" spans="1:9" x14ac:dyDescent="0.3">
      <c r="A3125">
        <v>5563</v>
      </c>
      <c r="B3125" t="s">
        <v>1935</v>
      </c>
      <c r="C3125" t="s">
        <v>121</v>
      </c>
      <c r="D3125" t="s">
        <v>67</v>
      </c>
      <c r="E3125" t="s">
        <v>1928</v>
      </c>
      <c r="F3125" s="13">
        <v>1</v>
      </c>
      <c r="G3125" s="14">
        <v>271.81</v>
      </c>
      <c r="H3125" s="13">
        <v>102</v>
      </c>
      <c r="I3125" t="s">
        <v>76</v>
      </c>
    </row>
    <row r="3126" spans="1:9" x14ac:dyDescent="0.3">
      <c r="A3126">
        <v>5746</v>
      </c>
      <c r="B3126" t="s">
        <v>1936</v>
      </c>
      <c r="C3126" t="s">
        <v>92</v>
      </c>
      <c r="D3126" t="s">
        <v>64</v>
      </c>
      <c r="E3126" t="s">
        <v>1928</v>
      </c>
      <c r="F3126" s="13">
        <v>3</v>
      </c>
      <c r="G3126" s="14">
        <v>1167.78</v>
      </c>
      <c r="H3126" s="13">
        <v>102</v>
      </c>
      <c r="I3126" t="s">
        <v>76</v>
      </c>
    </row>
    <row r="3127" spans="1:9" x14ac:dyDescent="0.3">
      <c r="A3127">
        <v>5927</v>
      </c>
      <c r="B3127" t="s">
        <v>202</v>
      </c>
      <c r="C3127" t="s">
        <v>92</v>
      </c>
      <c r="D3127" t="s">
        <v>64</v>
      </c>
      <c r="E3127" t="s">
        <v>1928</v>
      </c>
      <c r="F3127" s="13">
        <v>3</v>
      </c>
      <c r="G3127" s="14">
        <v>6310.5</v>
      </c>
      <c r="H3127" s="13">
        <v>102</v>
      </c>
      <c r="I3127" t="s">
        <v>76</v>
      </c>
    </row>
    <row r="3128" spans="1:9" x14ac:dyDescent="0.3">
      <c r="A3128">
        <v>6075</v>
      </c>
      <c r="B3128" t="s">
        <v>353</v>
      </c>
      <c r="C3128" t="s">
        <v>137</v>
      </c>
      <c r="D3128" t="s">
        <v>64</v>
      </c>
      <c r="E3128" t="s">
        <v>1928</v>
      </c>
      <c r="F3128" s="13">
        <v>2</v>
      </c>
      <c r="G3128" s="14">
        <v>274.45</v>
      </c>
      <c r="H3128" s="13">
        <v>102</v>
      </c>
      <c r="I3128" t="s">
        <v>76</v>
      </c>
    </row>
    <row r="3129" spans="1:9" x14ac:dyDescent="0.3">
      <c r="A3129">
        <v>6422</v>
      </c>
      <c r="B3129" t="s">
        <v>1937</v>
      </c>
      <c r="C3129" t="s">
        <v>92</v>
      </c>
      <c r="D3129" t="s">
        <v>64</v>
      </c>
      <c r="E3129" t="s">
        <v>1928</v>
      </c>
      <c r="F3129" s="13">
        <v>3</v>
      </c>
      <c r="G3129" s="14">
        <v>6070.22</v>
      </c>
      <c r="H3129" s="13">
        <v>102</v>
      </c>
      <c r="I3129" t="s">
        <v>76</v>
      </c>
    </row>
    <row r="3130" spans="1:9" x14ac:dyDescent="0.3">
      <c r="A3130">
        <v>6451</v>
      </c>
      <c r="B3130" t="s">
        <v>1938</v>
      </c>
      <c r="C3130" t="s">
        <v>137</v>
      </c>
      <c r="D3130" t="s">
        <v>64</v>
      </c>
      <c r="E3130" t="s">
        <v>1928</v>
      </c>
      <c r="F3130" s="13">
        <v>2</v>
      </c>
      <c r="G3130" s="14">
        <v>1725.3</v>
      </c>
      <c r="H3130" s="13">
        <v>102</v>
      </c>
      <c r="I3130" t="s">
        <v>76</v>
      </c>
    </row>
    <row r="3131" spans="1:9" x14ac:dyDescent="0.3">
      <c r="A3131">
        <v>7267</v>
      </c>
      <c r="B3131" t="s">
        <v>204</v>
      </c>
      <c r="C3131" t="s">
        <v>123</v>
      </c>
      <c r="D3131" t="s">
        <v>65</v>
      </c>
      <c r="E3131" t="s">
        <v>1928</v>
      </c>
      <c r="F3131" s="13">
        <v>2</v>
      </c>
      <c r="G3131" s="14">
        <v>1323.67</v>
      </c>
      <c r="H3131" s="13">
        <v>102</v>
      </c>
      <c r="I3131" t="s">
        <v>76</v>
      </c>
    </row>
    <row r="3132" spans="1:9" x14ac:dyDescent="0.3">
      <c r="A3132">
        <v>8066</v>
      </c>
      <c r="B3132" t="s">
        <v>1939</v>
      </c>
      <c r="C3132" t="s">
        <v>92</v>
      </c>
      <c r="D3132" t="s">
        <v>64</v>
      </c>
      <c r="E3132" t="s">
        <v>1928</v>
      </c>
      <c r="F3132" s="13">
        <v>4</v>
      </c>
      <c r="G3132" s="14">
        <v>5808.13</v>
      </c>
      <c r="H3132" s="13">
        <v>102</v>
      </c>
      <c r="I3132" t="s">
        <v>76</v>
      </c>
    </row>
    <row r="3133" spans="1:9" x14ac:dyDescent="0.3">
      <c r="A3133">
        <v>8459</v>
      </c>
      <c r="B3133" t="s">
        <v>1940</v>
      </c>
      <c r="C3133" t="s">
        <v>95</v>
      </c>
      <c r="D3133" t="s">
        <v>65</v>
      </c>
      <c r="E3133" t="s">
        <v>1928</v>
      </c>
      <c r="F3133" s="13">
        <v>3</v>
      </c>
      <c r="G3133" s="14">
        <v>9962.3799999999992</v>
      </c>
      <c r="H3133" s="13">
        <v>102</v>
      </c>
      <c r="I3133" t="s">
        <v>76</v>
      </c>
    </row>
    <row r="3134" spans="1:9" x14ac:dyDescent="0.3">
      <c r="A3134">
        <v>239</v>
      </c>
      <c r="B3134" t="s">
        <v>167</v>
      </c>
      <c r="C3134" t="s">
        <v>156</v>
      </c>
      <c r="D3134" t="s">
        <v>68</v>
      </c>
      <c r="E3134" t="s">
        <v>1941</v>
      </c>
      <c r="F3134" s="13">
        <v>1</v>
      </c>
      <c r="G3134" s="14">
        <v>379.18</v>
      </c>
      <c r="H3134" s="13">
        <v>101</v>
      </c>
      <c r="I3134" t="s">
        <v>76</v>
      </c>
    </row>
    <row r="3135" spans="1:9" x14ac:dyDescent="0.3">
      <c r="A3135">
        <v>540</v>
      </c>
      <c r="B3135" t="s">
        <v>1942</v>
      </c>
      <c r="C3135" t="s">
        <v>92</v>
      </c>
      <c r="D3135" t="s">
        <v>64</v>
      </c>
      <c r="E3135" t="s">
        <v>1941</v>
      </c>
      <c r="F3135" s="13">
        <v>1</v>
      </c>
      <c r="G3135" s="14">
        <v>5570.37</v>
      </c>
      <c r="H3135" s="13">
        <v>101</v>
      </c>
      <c r="I3135" t="s">
        <v>76</v>
      </c>
    </row>
    <row r="3136" spans="1:9" x14ac:dyDescent="0.3">
      <c r="A3136">
        <v>561</v>
      </c>
      <c r="B3136" t="s">
        <v>1285</v>
      </c>
      <c r="C3136" t="s">
        <v>137</v>
      </c>
      <c r="D3136" t="s">
        <v>64</v>
      </c>
      <c r="E3136" t="s">
        <v>1941</v>
      </c>
      <c r="F3136" s="13">
        <v>2</v>
      </c>
      <c r="G3136" s="14">
        <v>4580.3900000000003</v>
      </c>
      <c r="H3136" s="13">
        <v>101</v>
      </c>
      <c r="I3136" t="s">
        <v>76</v>
      </c>
    </row>
    <row r="3137" spans="1:9" x14ac:dyDescent="0.3">
      <c r="A3137">
        <v>972</v>
      </c>
      <c r="B3137" t="s">
        <v>366</v>
      </c>
      <c r="C3137" t="s">
        <v>97</v>
      </c>
      <c r="D3137" t="s">
        <v>65</v>
      </c>
      <c r="E3137" t="s">
        <v>1941</v>
      </c>
      <c r="F3137" s="13">
        <v>7</v>
      </c>
      <c r="G3137" s="14">
        <v>24516.94</v>
      </c>
      <c r="H3137" s="13">
        <v>101</v>
      </c>
      <c r="I3137" t="s">
        <v>76</v>
      </c>
    </row>
    <row r="3138" spans="1:9" x14ac:dyDescent="0.3">
      <c r="A3138">
        <v>1775</v>
      </c>
      <c r="B3138" t="s">
        <v>1943</v>
      </c>
      <c r="C3138" t="s">
        <v>133</v>
      </c>
      <c r="D3138" t="s">
        <v>64</v>
      </c>
      <c r="E3138" t="s">
        <v>1941</v>
      </c>
      <c r="F3138" s="13">
        <v>5</v>
      </c>
      <c r="G3138" s="14">
        <v>4965.42</v>
      </c>
      <c r="H3138" s="13">
        <v>101</v>
      </c>
      <c r="I3138" t="s">
        <v>76</v>
      </c>
    </row>
    <row r="3139" spans="1:9" x14ac:dyDescent="0.3">
      <c r="A3139">
        <v>2053</v>
      </c>
      <c r="B3139" t="s">
        <v>113</v>
      </c>
      <c r="C3139" t="s">
        <v>92</v>
      </c>
      <c r="D3139" t="s">
        <v>64</v>
      </c>
      <c r="E3139" t="s">
        <v>1941</v>
      </c>
      <c r="F3139" s="13">
        <v>2</v>
      </c>
      <c r="G3139" s="14">
        <v>3725.49</v>
      </c>
      <c r="H3139" s="13">
        <v>101</v>
      </c>
      <c r="I3139" t="s">
        <v>76</v>
      </c>
    </row>
    <row r="3140" spans="1:9" x14ac:dyDescent="0.3">
      <c r="A3140">
        <v>3030</v>
      </c>
      <c r="B3140" t="s">
        <v>163</v>
      </c>
      <c r="C3140" t="s">
        <v>95</v>
      </c>
      <c r="D3140" t="s">
        <v>65</v>
      </c>
      <c r="E3140" t="s">
        <v>1941</v>
      </c>
      <c r="F3140" s="13">
        <v>1</v>
      </c>
      <c r="G3140" s="14">
        <v>246.7</v>
      </c>
      <c r="H3140" s="13">
        <v>101</v>
      </c>
      <c r="I3140" t="s">
        <v>76</v>
      </c>
    </row>
    <row r="3141" spans="1:9" x14ac:dyDescent="0.3">
      <c r="A3141">
        <v>3125</v>
      </c>
      <c r="B3141" t="s">
        <v>1710</v>
      </c>
      <c r="C3141" t="s">
        <v>137</v>
      </c>
      <c r="D3141" t="s">
        <v>64</v>
      </c>
      <c r="E3141" t="s">
        <v>1941</v>
      </c>
      <c r="F3141" s="13">
        <v>6</v>
      </c>
      <c r="G3141" s="14">
        <v>6618.99</v>
      </c>
      <c r="H3141" s="13">
        <v>101</v>
      </c>
      <c r="I3141" t="s">
        <v>76</v>
      </c>
    </row>
    <row r="3142" spans="1:9" x14ac:dyDescent="0.3">
      <c r="A3142">
        <v>3264</v>
      </c>
      <c r="B3142" t="s">
        <v>1944</v>
      </c>
      <c r="C3142" t="s">
        <v>137</v>
      </c>
      <c r="D3142" t="s">
        <v>64</v>
      </c>
      <c r="E3142" t="s">
        <v>1941</v>
      </c>
      <c r="F3142" s="13">
        <v>6</v>
      </c>
      <c r="G3142" s="14">
        <v>6384.28</v>
      </c>
      <c r="H3142" s="13">
        <v>101</v>
      </c>
      <c r="I3142" t="s">
        <v>76</v>
      </c>
    </row>
    <row r="3143" spans="1:9" x14ac:dyDescent="0.3">
      <c r="A3143">
        <v>3531</v>
      </c>
      <c r="B3143" t="s">
        <v>1163</v>
      </c>
      <c r="C3143" t="s">
        <v>90</v>
      </c>
      <c r="D3143" t="s">
        <v>66</v>
      </c>
      <c r="E3143" t="s">
        <v>1941</v>
      </c>
      <c r="F3143" s="13">
        <v>1</v>
      </c>
      <c r="G3143" s="14">
        <v>3060.47</v>
      </c>
      <c r="H3143" s="13">
        <v>101</v>
      </c>
      <c r="I3143" t="s">
        <v>76</v>
      </c>
    </row>
    <row r="3144" spans="1:9" x14ac:dyDescent="0.3">
      <c r="A3144">
        <v>3557</v>
      </c>
      <c r="B3144" t="s">
        <v>404</v>
      </c>
      <c r="C3144" t="s">
        <v>137</v>
      </c>
      <c r="D3144" t="s">
        <v>64</v>
      </c>
      <c r="E3144" t="s">
        <v>1941</v>
      </c>
      <c r="F3144" s="13">
        <v>3</v>
      </c>
      <c r="G3144" s="14">
        <v>1685.74</v>
      </c>
      <c r="H3144" s="13">
        <v>101</v>
      </c>
      <c r="I3144" t="s">
        <v>76</v>
      </c>
    </row>
    <row r="3145" spans="1:9" x14ac:dyDescent="0.3">
      <c r="A3145">
        <v>4734</v>
      </c>
      <c r="B3145" t="s">
        <v>201</v>
      </c>
      <c r="C3145" t="s">
        <v>92</v>
      </c>
      <c r="D3145" t="s">
        <v>64</v>
      </c>
      <c r="E3145" t="s">
        <v>1941</v>
      </c>
      <c r="F3145" s="13">
        <v>1</v>
      </c>
      <c r="G3145" s="14">
        <v>250.72</v>
      </c>
      <c r="H3145" s="13">
        <v>101</v>
      </c>
      <c r="I3145" t="s">
        <v>76</v>
      </c>
    </row>
    <row r="3146" spans="1:9" x14ac:dyDescent="0.3">
      <c r="A3146">
        <v>5212</v>
      </c>
      <c r="B3146" t="s">
        <v>1945</v>
      </c>
      <c r="C3146" t="s">
        <v>87</v>
      </c>
      <c r="D3146" t="s">
        <v>64</v>
      </c>
      <c r="E3146" t="s">
        <v>1941</v>
      </c>
      <c r="F3146" s="13">
        <v>4</v>
      </c>
      <c r="G3146" s="14">
        <v>8260.51</v>
      </c>
      <c r="H3146" s="13">
        <v>101</v>
      </c>
      <c r="I3146" t="s">
        <v>76</v>
      </c>
    </row>
    <row r="3147" spans="1:9" x14ac:dyDescent="0.3">
      <c r="A3147">
        <v>5377</v>
      </c>
      <c r="B3147" t="s">
        <v>286</v>
      </c>
      <c r="C3147" t="s">
        <v>92</v>
      </c>
      <c r="D3147" t="s">
        <v>64</v>
      </c>
      <c r="E3147" t="s">
        <v>1941</v>
      </c>
      <c r="F3147" s="13">
        <v>2</v>
      </c>
      <c r="G3147" s="14">
        <v>2511.9299999999998</v>
      </c>
      <c r="H3147" s="13">
        <v>101</v>
      </c>
      <c r="I3147" t="s">
        <v>76</v>
      </c>
    </row>
    <row r="3148" spans="1:9" x14ac:dyDescent="0.3">
      <c r="A3148">
        <v>6810</v>
      </c>
      <c r="B3148" t="s">
        <v>286</v>
      </c>
      <c r="C3148" t="s">
        <v>133</v>
      </c>
      <c r="D3148" t="s">
        <v>64</v>
      </c>
      <c r="E3148" t="s">
        <v>1941</v>
      </c>
      <c r="F3148" s="13">
        <v>3</v>
      </c>
      <c r="G3148" s="14">
        <v>1387.32</v>
      </c>
      <c r="H3148" s="13">
        <v>101</v>
      </c>
      <c r="I3148" t="s">
        <v>76</v>
      </c>
    </row>
    <row r="3149" spans="1:9" x14ac:dyDescent="0.3">
      <c r="A3149">
        <v>6874</v>
      </c>
      <c r="B3149" t="s">
        <v>1946</v>
      </c>
      <c r="C3149" t="s">
        <v>123</v>
      </c>
      <c r="D3149" t="s">
        <v>65</v>
      </c>
      <c r="E3149" t="s">
        <v>1941</v>
      </c>
      <c r="F3149" s="13">
        <v>2</v>
      </c>
      <c r="G3149" s="14">
        <v>372.04</v>
      </c>
      <c r="H3149" s="13">
        <v>101</v>
      </c>
      <c r="I3149" t="s">
        <v>76</v>
      </c>
    </row>
    <row r="3150" spans="1:9" x14ac:dyDescent="0.3">
      <c r="A3150">
        <v>102</v>
      </c>
      <c r="B3150" t="s">
        <v>1947</v>
      </c>
      <c r="C3150" t="s">
        <v>97</v>
      </c>
      <c r="D3150" t="s">
        <v>65</v>
      </c>
      <c r="E3150" t="s">
        <v>1948</v>
      </c>
      <c r="F3150" s="13">
        <v>5</v>
      </c>
      <c r="G3150" s="14">
        <v>8199.35</v>
      </c>
      <c r="H3150" s="13">
        <v>100</v>
      </c>
      <c r="I3150" t="s">
        <v>76</v>
      </c>
    </row>
    <row r="3151" spans="1:9" x14ac:dyDescent="0.3">
      <c r="A3151">
        <v>1125</v>
      </c>
      <c r="B3151" t="s">
        <v>149</v>
      </c>
      <c r="C3151" t="s">
        <v>123</v>
      </c>
      <c r="D3151" t="s">
        <v>65</v>
      </c>
      <c r="E3151" t="s">
        <v>1948</v>
      </c>
      <c r="F3151" s="13">
        <v>2</v>
      </c>
      <c r="G3151" s="14">
        <v>1391.83</v>
      </c>
      <c r="H3151" s="13">
        <v>100</v>
      </c>
      <c r="I3151" t="s">
        <v>76</v>
      </c>
    </row>
    <row r="3152" spans="1:9" x14ac:dyDescent="0.3">
      <c r="A3152">
        <v>1651</v>
      </c>
      <c r="B3152" t="s">
        <v>1678</v>
      </c>
      <c r="C3152" t="s">
        <v>87</v>
      </c>
      <c r="D3152" t="s">
        <v>64</v>
      </c>
      <c r="E3152" t="s">
        <v>1948</v>
      </c>
      <c r="F3152" s="13">
        <v>5</v>
      </c>
      <c r="G3152" s="14">
        <v>6282.66</v>
      </c>
      <c r="H3152" s="13">
        <v>100</v>
      </c>
      <c r="I3152" t="s">
        <v>76</v>
      </c>
    </row>
    <row r="3153" spans="1:9" x14ac:dyDescent="0.3">
      <c r="A3153">
        <v>1707</v>
      </c>
      <c r="B3153" t="s">
        <v>1949</v>
      </c>
      <c r="C3153" t="s">
        <v>97</v>
      </c>
      <c r="D3153" t="s">
        <v>65</v>
      </c>
      <c r="E3153" t="s">
        <v>1948</v>
      </c>
      <c r="F3153" s="13">
        <v>3</v>
      </c>
      <c r="G3153" s="14">
        <v>792.42</v>
      </c>
      <c r="H3153" s="13">
        <v>100</v>
      </c>
      <c r="I3153" t="s">
        <v>76</v>
      </c>
    </row>
    <row r="3154" spans="1:9" x14ac:dyDescent="0.3">
      <c r="A3154">
        <v>1759</v>
      </c>
      <c r="B3154" t="s">
        <v>1950</v>
      </c>
      <c r="C3154" t="s">
        <v>92</v>
      </c>
      <c r="D3154" t="s">
        <v>64</v>
      </c>
      <c r="E3154" t="s">
        <v>1948</v>
      </c>
      <c r="F3154" s="13">
        <v>2</v>
      </c>
      <c r="G3154" s="14">
        <v>10496.15</v>
      </c>
      <c r="H3154" s="13">
        <v>100</v>
      </c>
      <c r="I3154" t="s">
        <v>76</v>
      </c>
    </row>
    <row r="3155" spans="1:9" x14ac:dyDescent="0.3">
      <c r="A3155">
        <v>2332</v>
      </c>
      <c r="B3155" t="s">
        <v>191</v>
      </c>
      <c r="C3155" t="s">
        <v>123</v>
      </c>
      <c r="D3155" t="s">
        <v>65</v>
      </c>
      <c r="E3155" t="s">
        <v>1948</v>
      </c>
      <c r="F3155" s="13">
        <v>3</v>
      </c>
      <c r="G3155" s="14">
        <v>8807.2800000000007</v>
      </c>
      <c r="H3155" s="13">
        <v>100</v>
      </c>
      <c r="I3155" t="s">
        <v>76</v>
      </c>
    </row>
    <row r="3156" spans="1:9" x14ac:dyDescent="0.3">
      <c r="A3156">
        <v>2969</v>
      </c>
      <c r="B3156" t="s">
        <v>1951</v>
      </c>
      <c r="C3156" t="s">
        <v>123</v>
      </c>
      <c r="D3156" t="s">
        <v>65</v>
      </c>
      <c r="E3156" t="s">
        <v>1948</v>
      </c>
      <c r="F3156" s="13">
        <v>2</v>
      </c>
      <c r="G3156" s="14">
        <v>867.48</v>
      </c>
      <c r="H3156" s="13">
        <v>100</v>
      </c>
      <c r="I3156" t="s">
        <v>76</v>
      </c>
    </row>
    <row r="3157" spans="1:9" x14ac:dyDescent="0.3">
      <c r="A3157">
        <v>3855</v>
      </c>
      <c r="B3157" t="s">
        <v>205</v>
      </c>
      <c r="C3157" t="s">
        <v>249</v>
      </c>
      <c r="D3157" t="s">
        <v>67</v>
      </c>
      <c r="E3157" t="s">
        <v>1948</v>
      </c>
      <c r="F3157" s="13">
        <v>7</v>
      </c>
      <c r="G3157" s="14">
        <v>7156.95</v>
      </c>
      <c r="H3157" s="13">
        <v>100</v>
      </c>
      <c r="I3157" t="s">
        <v>76</v>
      </c>
    </row>
    <row r="3158" spans="1:9" x14ac:dyDescent="0.3">
      <c r="A3158">
        <v>3982</v>
      </c>
      <c r="B3158" t="s">
        <v>205</v>
      </c>
      <c r="C3158" t="s">
        <v>121</v>
      </c>
      <c r="D3158" t="s">
        <v>67</v>
      </c>
      <c r="E3158" t="s">
        <v>1948</v>
      </c>
      <c r="F3158" s="13">
        <v>2</v>
      </c>
      <c r="G3158" s="14">
        <v>3011.28</v>
      </c>
      <c r="H3158" s="13">
        <v>100</v>
      </c>
      <c r="I3158" t="s">
        <v>76</v>
      </c>
    </row>
    <row r="3159" spans="1:9" x14ac:dyDescent="0.3">
      <c r="A3159">
        <v>4173</v>
      </c>
      <c r="B3159" t="s">
        <v>1952</v>
      </c>
      <c r="C3159" t="s">
        <v>92</v>
      </c>
      <c r="D3159" t="s">
        <v>64</v>
      </c>
      <c r="E3159" t="s">
        <v>1948</v>
      </c>
      <c r="F3159" s="13">
        <v>1</v>
      </c>
      <c r="G3159" s="14">
        <v>82.01</v>
      </c>
      <c r="H3159" s="13">
        <v>100</v>
      </c>
      <c r="I3159" t="s">
        <v>76</v>
      </c>
    </row>
    <row r="3160" spans="1:9" x14ac:dyDescent="0.3">
      <c r="A3160">
        <v>4977</v>
      </c>
      <c r="B3160" t="s">
        <v>414</v>
      </c>
      <c r="C3160" t="s">
        <v>92</v>
      </c>
      <c r="D3160" t="s">
        <v>64</v>
      </c>
      <c r="E3160" t="s">
        <v>1948</v>
      </c>
      <c r="F3160" s="13">
        <v>3</v>
      </c>
      <c r="G3160" s="14">
        <v>8898.18</v>
      </c>
      <c r="H3160" s="13">
        <v>100</v>
      </c>
      <c r="I3160" t="s">
        <v>76</v>
      </c>
    </row>
    <row r="3161" spans="1:9" x14ac:dyDescent="0.3">
      <c r="A3161">
        <v>5635</v>
      </c>
      <c r="B3161" t="s">
        <v>89</v>
      </c>
      <c r="C3161" t="s">
        <v>137</v>
      </c>
      <c r="D3161" t="s">
        <v>64</v>
      </c>
      <c r="E3161" t="s">
        <v>1948</v>
      </c>
      <c r="F3161" s="13">
        <v>4</v>
      </c>
      <c r="G3161" s="14">
        <v>4475.28</v>
      </c>
      <c r="H3161" s="13">
        <v>100</v>
      </c>
      <c r="I3161" t="s">
        <v>76</v>
      </c>
    </row>
    <row r="3162" spans="1:9" x14ac:dyDescent="0.3">
      <c r="A3162">
        <v>5886</v>
      </c>
      <c r="B3162" t="s">
        <v>323</v>
      </c>
      <c r="C3162" t="s">
        <v>92</v>
      </c>
      <c r="D3162" t="s">
        <v>64</v>
      </c>
      <c r="E3162" t="s">
        <v>1948</v>
      </c>
      <c r="F3162" s="13">
        <v>3</v>
      </c>
      <c r="G3162" s="14">
        <v>7564.17</v>
      </c>
      <c r="H3162" s="13">
        <v>100</v>
      </c>
      <c r="I3162" t="s">
        <v>76</v>
      </c>
    </row>
    <row r="3163" spans="1:9" x14ac:dyDescent="0.3">
      <c r="A3163">
        <v>6043</v>
      </c>
      <c r="B3163" t="s">
        <v>460</v>
      </c>
      <c r="C3163" t="s">
        <v>133</v>
      </c>
      <c r="D3163" t="s">
        <v>64</v>
      </c>
      <c r="E3163" t="s">
        <v>1948</v>
      </c>
      <c r="F3163" s="13">
        <v>4</v>
      </c>
      <c r="G3163" s="14">
        <v>7967.04</v>
      </c>
      <c r="H3163" s="13">
        <v>100</v>
      </c>
      <c r="I3163" t="s">
        <v>76</v>
      </c>
    </row>
    <row r="3164" spans="1:9" x14ac:dyDescent="0.3">
      <c r="A3164">
        <v>6192</v>
      </c>
      <c r="B3164" t="s">
        <v>202</v>
      </c>
      <c r="C3164" t="s">
        <v>92</v>
      </c>
      <c r="D3164" t="s">
        <v>64</v>
      </c>
      <c r="E3164" t="s">
        <v>1948</v>
      </c>
      <c r="F3164" s="13">
        <v>5</v>
      </c>
      <c r="G3164" s="14">
        <v>4318.6099999999997</v>
      </c>
      <c r="H3164" s="13">
        <v>100</v>
      </c>
      <c r="I3164" t="s">
        <v>76</v>
      </c>
    </row>
    <row r="3165" spans="1:9" x14ac:dyDescent="0.3">
      <c r="A3165">
        <v>6650</v>
      </c>
      <c r="B3165" t="s">
        <v>414</v>
      </c>
      <c r="C3165" t="s">
        <v>100</v>
      </c>
      <c r="D3165" t="s">
        <v>66</v>
      </c>
      <c r="E3165" t="s">
        <v>1948</v>
      </c>
      <c r="F3165" s="13">
        <v>3</v>
      </c>
      <c r="G3165" s="14">
        <v>2173.31</v>
      </c>
      <c r="H3165" s="13">
        <v>100</v>
      </c>
      <c r="I3165" t="s">
        <v>76</v>
      </c>
    </row>
    <row r="3166" spans="1:9" x14ac:dyDescent="0.3">
      <c r="A3166">
        <v>6883</v>
      </c>
      <c r="B3166" t="s">
        <v>1953</v>
      </c>
      <c r="C3166" t="s">
        <v>137</v>
      </c>
      <c r="D3166" t="s">
        <v>64</v>
      </c>
      <c r="E3166" t="s">
        <v>1948</v>
      </c>
      <c r="F3166" s="13">
        <v>1</v>
      </c>
      <c r="G3166" s="14">
        <v>665.21</v>
      </c>
      <c r="H3166" s="13">
        <v>100</v>
      </c>
      <c r="I3166" t="s">
        <v>76</v>
      </c>
    </row>
    <row r="3167" spans="1:9" x14ac:dyDescent="0.3">
      <c r="A3167">
        <v>7026</v>
      </c>
      <c r="B3167" t="s">
        <v>942</v>
      </c>
      <c r="C3167" t="s">
        <v>92</v>
      </c>
      <c r="D3167" t="s">
        <v>64</v>
      </c>
      <c r="E3167" t="s">
        <v>1948</v>
      </c>
      <c r="F3167" s="13">
        <v>2</v>
      </c>
      <c r="G3167" s="14">
        <v>4877.78</v>
      </c>
      <c r="H3167" s="13">
        <v>100</v>
      </c>
      <c r="I3167" t="s">
        <v>76</v>
      </c>
    </row>
    <row r="3168" spans="1:9" x14ac:dyDescent="0.3">
      <c r="A3168">
        <v>7111</v>
      </c>
      <c r="B3168" t="s">
        <v>645</v>
      </c>
      <c r="C3168" t="s">
        <v>123</v>
      </c>
      <c r="D3168" t="s">
        <v>65</v>
      </c>
      <c r="E3168" t="s">
        <v>1948</v>
      </c>
      <c r="F3168" s="13">
        <v>1</v>
      </c>
      <c r="G3168" s="14">
        <v>517.05999999999995</v>
      </c>
      <c r="H3168" s="13">
        <v>100</v>
      </c>
      <c r="I3168" t="s">
        <v>76</v>
      </c>
    </row>
    <row r="3169" spans="1:9" x14ac:dyDescent="0.3">
      <c r="A3169">
        <v>8019</v>
      </c>
      <c r="B3169" t="s">
        <v>1814</v>
      </c>
      <c r="C3169" t="s">
        <v>133</v>
      </c>
      <c r="D3169" t="s">
        <v>64</v>
      </c>
      <c r="E3169" t="s">
        <v>1948</v>
      </c>
      <c r="F3169" s="13">
        <v>2</v>
      </c>
      <c r="G3169" s="14">
        <v>5077.71</v>
      </c>
      <c r="H3169" s="13">
        <v>100</v>
      </c>
      <c r="I3169" t="s">
        <v>76</v>
      </c>
    </row>
    <row r="3170" spans="1:9" x14ac:dyDescent="0.3">
      <c r="A3170">
        <v>8028</v>
      </c>
      <c r="B3170" t="s">
        <v>1954</v>
      </c>
      <c r="C3170" t="s">
        <v>137</v>
      </c>
      <c r="D3170" t="s">
        <v>64</v>
      </c>
      <c r="E3170" t="s">
        <v>1948</v>
      </c>
      <c r="F3170" s="13">
        <v>1</v>
      </c>
      <c r="G3170" s="14">
        <v>3131.75</v>
      </c>
      <c r="H3170" s="13">
        <v>100</v>
      </c>
      <c r="I3170" t="s">
        <v>76</v>
      </c>
    </row>
    <row r="3171" spans="1:9" x14ac:dyDescent="0.3">
      <c r="A3171">
        <v>8570</v>
      </c>
      <c r="B3171" t="s">
        <v>668</v>
      </c>
      <c r="C3171" t="s">
        <v>137</v>
      </c>
      <c r="D3171" t="s">
        <v>64</v>
      </c>
      <c r="E3171" t="s">
        <v>1948</v>
      </c>
      <c r="F3171" s="13">
        <v>2</v>
      </c>
      <c r="G3171" s="14">
        <v>587.07000000000005</v>
      </c>
      <c r="H3171" s="13">
        <v>100</v>
      </c>
      <c r="I3171" t="s">
        <v>76</v>
      </c>
    </row>
    <row r="3172" spans="1:9" x14ac:dyDescent="0.3">
      <c r="A3172">
        <v>990</v>
      </c>
      <c r="B3172" t="s">
        <v>1955</v>
      </c>
      <c r="C3172" t="s">
        <v>137</v>
      </c>
      <c r="D3172" t="s">
        <v>64</v>
      </c>
      <c r="E3172" t="s">
        <v>1956</v>
      </c>
      <c r="F3172" s="13">
        <v>2</v>
      </c>
      <c r="G3172" s="14">
        <v>4711.59</v>
      </c>
      <c r="H3172" s="13">
        <v>99</v>
      </c>
      <c r="I3172" t="s">
        <v>76</v>
      </c>
    </row>
    <row r="3173" spans="1:9" x14ac:dyDescent="0.3">
      <c r="A3173">
        <v>1060</v>
      </c>
      <c r="B3173" t="s">
        <v>1957</v>
      </c>
      <c r="C3173" t="s">
        <v>133</v>
      </c>
      <c r="D3173" t="s">
        <v>64</v>
      </c>
      <c r="E3173" t="s">
        <v>1956</v>
      </c>
      <c r="F3173" s="13">
        <v>11</v>
      </c>
      <c r="G3173" s="14">
        <v>23351.84</v>
      </c>
      <c r="H3173" s="13">
        <v>99</v>
      </c>
      <c r="I3173" t="s">
        <v>76</v>
      </c>
    </row>
    <row r="3174" spans="1:9" x14ac:dyDescent="0.3">
      <c r="A3174">
        <v>1346</v>
      </c>
      <c r="B3174" t="s">
        <v>1958</v>
      </c>
      <c r="C3174" t="s">
        <v>92</v>
      </c>
      <c r="D3174" t="s">
        <v>64</v>
      </c>
      <c r="E3174" t="s">
        <v>1956</v>
      </c>
      <c r="F3174" s="13">
        <v>2</v>
      </c>
      <c r="G3174" s="14">
        <v>988.01</v>
      </c>
      <c r="H3174" s="13">
        <v>99</v>
      </c>
      <c r="I3174" t="s">
        <v>76</v>
      </c>
    </row>
    <row r="3175" spans="1:9" x14ac:dyDescent="0.3">
      <c r="A3175">
        <v>1363</v>
      </c>
      <c r="B3175" t="s">
        <v>277</v>
      </c>
      <c r="C3175" t="s">
        <v>133</v>
      </c>
      <c r="D3175" t="s">
        <v>64</v>
      </c>
      <c r="E3175" t="s">
        <v>1956</v>
      </c>
      <c r="F3175" s="13">
        <v>2</v>
      </c>
      <c r="G3175" s="14">
        <v>3300.03</v>
      </c>
      <c r="H3175" s="13">
        <v>99</v>
      </c>
      <c r="I3175" t="s">
        <v>76</v>
      </c>
    </row>
    <row r="3176" spans="1:9" x14ac:dyDescent="0.3">
      <c r="A3176">
        <v>1399</v>
      </c>
      <c r="B3176" t="s">
        <v>142</v>
      </c>
      <c r="C3176" t="s">
        <v>87</v>
      </c>
      <c r="D3176" t="s">
        <v>64</v>
      </c>
      <c r="E3176" t="s">
        <v>1956</v>
      </c>
      <c r="F3176" s="13">
        <v>2</v>
      </c>
      <c r="G3176" s="14">
        <v>5044.8500000000004</v>
      </c>
      <c r="H3176" s="13">
        <v>99</v>
      </c>
      <c r="I3176" t="s">
        <v>76</v>
      </c>
    </row>
    <row r="3177" spans="1:9" x14ac:dyDescent="0.3">
      <c r="A3177">
        <v>1419</v>
      </c>
      <c r="B3177" t="s">
        <v>505</v>
      </c>
      <c r="C3177" t="s">
        <v>92</v>
      </c>
      <c r="D3177" t="s">
        <v>64</v>
      </c>
      <c r="E3177" t="s">
        <v>1956</v>
      </c>
      <c r="F3177" s="13">
        <v>2</v>
      </c>
      <c r="G3177" s="14">
        <v>2679.79</v>
      </c>
      <c r="H3177" s="13">
        <v>99</v>
      </c>
      <c r="I3177" t="s">
        <v>76</v>
      </c>
    </row>
    <row r="3178" spans="1:9" x14ac:dyDescent="0.3">
      <c r="A3178">
        <v>1709</v>
      </c>
      <c r="B3178" t="s">
        <v>936</v>
      </c>
      <c r="C3178" t="s">
        <v>90</v>
      </c>
      <c r="D3178" t="s">
        <v>66</v>
      </c>
      <c r="E3178" t="s">
        <v>1956</v>
      </c>
      <c r="F3178" s="13">
        <v>2</v>
      </c>
      <c r="G3178" s="14">
        <v>815.76</v>
      </c>
      <c r="H3178" s="13">
        <v>99</v>
      </c>
      <c r="I3178" t="s">
        <v>76</v>
      </c>
    </row>
    <row r="3179" spans="1:9" x14ac:dyDescent="0.3">
      <c r="A3179">
        <v>1743</v>
      </c>
      <c r="B3179" t="s">
        <v>1959</v>
      </c>
      <c r="C3179" t="s">
        <v>137</v>
      </c>
      <c r="D3179" t="s">
        <v>64</v>
      </c>
      <c r="E3179" t="s">
        <v>1956</v>
      </c>
      <c r="F3179" s="13">
        <v>2</v>
      </c>
      <c r="G3179" s="14">
        <v>3418.81</v>
      </c>
      <c r="H3179" s="13">
        <v>99</v>
      </c>
      <c r="I3179" t="s">
        <v>76</v>
      </c>
    </row>
    <row r="3180" spans="1:9" x14ac:dyDescent="0.3">
      <c r="A3180">
        <v>1962</v>
      </c>
      <c r="B3180" t="s">
        <v>638</v>
      </c>
      <c r="C3180" t="s">
        <v>97</v>
      </c>
      <c r="D3180" t="s">
        <v>65</v>
      </c>
      <c r="E3180" t="s">
        <v>1956</v>
      </c>
      <c r="F3180" s="13">
        <v>8</v>
      </c>
      <c r="G3180" s="14">
        <v>36193.449999999997</v>
      </c>
      <c r="H3180" s="13">
        <v>99</v>
      </c>
      <c r="I3180" t="s">
        <v>76</v>
      </c>
    </row>
    <row r="3181" spans="1:9" x14ac:dyDescent="0.3">
      <c r="A3181">
        <v>2419</v>
      </c>
      <c r="B3181" t="s">
        <v>1960</v>
      </c>
      <c r="C3181" t="s">
        <v>137</v>
      </c>
      <c r="D3181" t="s">
        <v>64</v>
      </c>
      <c r="E3181" t="s">
        <v>1956</v>
      </c>
      <c r="F3181" s="13">
        <v>7</v>
      </c>
      <c r="G3181" s="14">
        <v>15209.89</v>
      </c>
      <c r="H3181" s="13">
        <v>99</v>
      </c>
      <c r="I3181" t="s">
        <v>76</v>
      </c>
    </row>
    <row r="3182" spans="1:9" x14ac:dyDescent="0.3">
      <c r="A3182">
        <v>2430</v>
      </c>
      <c r="B3182" t="s">
        <v>1961</v>
      </c>
      <c r="C3182" t="s">
        <v>137</v>
      </c>
      <c r="D3182" t="s">
        <v>64</v>
      </c>
      <c r="E3182" t="s">
        <v>1956</v>
      </c>
      <c r="F3182" s="13">
        <v>2</v>
      </c>
      <c r="G3182" s="14">
        <v>472.45</v>
      </c>
      <c r="H3182" s="13">
        <v>99</v>
      </c>
      <c r="I3182" t="s">
        <v>76</v>
      </c>
    </row>
    <row r="3183" spans="1:9" x14ac:dyDescent="0.3">
      <c r="A3183">
        <v>2470</v>
      </c>
      <c r="B3183" t="s">
        <v>448</v>
      </c>
      <c r="C3183" t="s">
        <v>133</v>
      </c>
      <c r="D3183" t="s">
        <v>64</v>
      </c>
      <c r="E3183" t="s">
        <v>1956</v>
      </c>
      <c r="F3183" s="13">
        <v>1</v>
      </c>
      <c r="G3183" s="14">
        <v>3210.38</v>
      </c>
      <c r="H3183" s="13">
        <v>99</v>
      </c>
      <c r="I3183" t="s">
        <v>76</v>
      </c>
    </row>
    <row r="3184" spans="1:9" x14ac:dyDescent="0.3">
      <c r="A3184">
        <v>2495</v>
      </c>
      <c r="B3184" t="s">
        <v>735</v>
      </c>
      <c r="C3184" t="s">
        <v>123</v>
      </c>
      <c r="D3184" t="s">
        <v>65</v>
      </c>
      <c r="E3184" t="s">
        <v>1956</v>
      </c>
      <c r="F3184" s="13">
        <v>1</v>
      </c>
      <c r="G3184" s="14">
        <v>176.35</v>
      </c>
      <c r="H3184" s="13">
        <v>99</v>
      </c>
      <c r="I3184" t="s">
        <v>76</v>
      </c>
    </row>
    <row r="3185" spans="1:9" x14ac:dyDescent="0.3">
      <c r="A3185">
        <v>2859</v>
      </c>
      <c r="B3185" t="s">
        <v>532</v>
      </c>
      <c r="C3185" t="s">
        <v>123</v>
      </c>
      <c r="D3185" t="s">
        <v>65</v>
      </c>
      <c r="E3185" t="s">
        <v>1956</v>
      </c>
      <c r="F3185" s="13">
        <v>2</v>
      </c>
      <c r="G3185" s="14">
        <v>9064.1299999999992</v>
      </c>
      <c r="H3185" s="13">
        <v>99</v>
      </c>
      <c r="I3185" t="s">
        <v>76</v>
      </c>
    </row>
    <row r="3186" spans="1:9" x14ac:dyDescent="0.3">
      <c r="A3186">
        <v>2972</v>
      </c>
      <c r="B3186" t="s">
        <v>116</v>
      </c>
      <c r="C3186" t="s">
        <v>92</v>
      </c>
      <c r="D3186" t="s">
        <v>64</v>
      </c>
      <c r="E3186" t="s">
        <v>1956</v>
      </c>
      <c r="F3186" s="13">
        <v>2</v>
      </c>
      <c r="G3186" s="14">
        <v>4386.97</v>
      </c>
      <c r="H3186" s="13">
        <v>99</v>
      </c>
      <c r="I3186" t="s">
        <v>76</v>
      </c>
    </row>
    <row r="3187" spans="1:9" x14ac:dyDescent="0.3">
      <c r="A3187">
        <v>3265</v>
      </c>
      <c r="B3187" t="s">
        <v>342</v>
      </c>
      <c r="C3187" t="s">
        <v>87</v>
      </c>
      <c r="D3187" t="s">
        <v>64</v>
      </c>
      <c r="E3187" t="s">
        <v>1956</v>
      </c>
      <c r="F3187" s="13">
        <v>1</v>
      </c>
      <c r="G3187" s="14">
        <v>3675.23</v>
      </c>
      <c r="H3187" s="13">
        <v>99</v>
      </c>
      <c r="I3187" t="s">
        <v>76</v>
      </c>
    </row>
    <row r="3188" spans="1:9" x14ac:dyDescent="0.3">
      <c r="A3188">
        <v>3355</v>
      </c>
      <c r="B3188" t="s">
        <v>153</v>
      </c>
      <c r="C3188" t="s">
        <v>137</v>
      </c>
      <c r="D3188" t="s">
        <v>64</v>
      </c>
      <c r="E3188" t="s">
        <v>1956</v>
      </c>
      <c r="F3188" s="13">
        <v>2</v>
      </c>
      <c r="G3188" s="14">
        <v>2616.52</v>
      </c>
      <c r="H3188" s="13">
        <v>99</v>
      </c>
      <c r="I3188" t="s">
        <v>76</v>
      </c>
    </row>
    <row r="3189" spans="1:9" x14ac:dyDescent="0.3">
      <c r="A3189">
        <v>3450</v>
      </c>
      <c r="B3189" t="s">
        <v>163</v>
      </c>
      <c r="C3189" t="s">
        <v>90</v>
      </c>
      <c r="D3189" t="s">
        <v>66</v>
      </c>
      <c r="E3189" t="s">
        <v>1956</v>
      </c>
      <c r="F3189" s="13">
        <v>1</v>
      </c>
      <c r="G3189" s="14">
        <v>172.66</v>
      </c>
      <c r="H3189" s="13">
        <v>99</v>
      </c>
      <c r="I3189" t="s">
        <v>76</v>
      </c>
    </row>
    <row r="3190" spans="1:9" x14ac:dyDescent="0.3">
      <c r="A3190">
        <v>3740</v>
      </c>
      <c r="B3190" t="s">
        <v>1665</v>
      </c>
      <c r="C3190" t="s">
        <v>87</v>
      </c>
      <c r="D3190" t="s">
        <v>64</v>
      </c>
      <c r="E3190" t="s">
        <v>1956</v>
      </c>
      <c r="F3190" s="13">
        <v>3</v>
      </c>
      <c r="G3190" s="14">
        <v>1425.23</v>
      </c>
      <c r="H3190" s="13">
        <v>99</v>
      </c>
      <c r="I3190" t="s">
        <v>76</v>
      </c>
    </row>
    <row r="3191" spans="1:9" x14ac:dyDescent="0.3">
      <c r="A3191">
        <v>4138</v>
      </c>
      <c r="B3191" t="s">
        <v>89</v>
      </c>
      <c r="C3191" t="s">
        <v>103</v>
      </c>
      <c r="D3191" t="s">
        <v>67</v>
      </c>
      <c r="E3191" t="s">
        <v>1956</v>
      </c>
      <c r="F3191" s="13">
        <v>5</v>
      </c>
      <c r="G3191" s="14">
        <v>9417.7800000000007</v>
      </c>
      <c r="H3191" s="13">
        <v>99</v>
      </c>
      <c r="I3191" t="s">
        <v>76</v>
      </c>
    </row>
    <row r="3192" spans="1:9" x14ac:dyDescent="0.3">
      <c r="A3192">
        <v>4388</v>
      </c>
      <c r="B3192" t="s">
        <v>449</v>
      </c>
      <c r="C3192" t="s">
        <v>100</v>
      </c>
      <c r="D3192" t="s">
        <v>66</v>
      </c>
      <c r="E3192" t="s">
        <v>1956</v>
      </c>
      <c r="F3192" s="13">
        <v>1</v>
      </c>
      <c r="G3192" s="14">
        <v>247.68</v>
      </c>
      <c r="H3192" s="13">
        <v>99</v>
      </c>
      <c r="I3192" t="s">
        <v>76</v>
      </c>
    </row>
    <row r="3193" spans="1:9" x14ac:dyDescent="0.3">
      <c r="A3193">
        <v>4518</v>
      </c>
      <c r="B3193" t="s">
        <v>274</v>
      </c>
      <c r="C3193" t="s">
        <v>87</v>
      </c>
      <c r="D3193" t="s">
        <v>64</v>
      </c>
      <c r="E3193" t="s">
        <v>1956</v>
      </c>
      <c r="F3193" s="13">
        <v>3</v>
      </c>
      <c r="G3193" s="14">
        <v>2035.52</v>
      </c>
      <c r="H3193" s="13">
        <v>99</v>
      </c>
      <c r="I3193" t="s">
        <v>76</v>
      </c>
    </row>
    <row r="3194" spans="1:9" x14ac:dyDescent="0.3">
      <c r="A3194">
        <v>5860</v>
      </c>
      <c r="B3194" t="s">
        <v>1962</v>
      </c>
      <c r="C3194" t="s">
        <v>90</v>
      </c>
      <c r="D3194" t="s">
        <v>66</v>
      </c>
      <c r="E3194" t="s">
        <v>1956</v>
      </c>
      <c r="F3194" s="13">
        <v>3</v>
      </c>
      <c r="G3194" s="14">
        <v>4903.8599999999997</v>
      </c>
      <c r="H3194" s="13">
        <v>99</v>
      </c>
      <c r="I3194" t="s">
        <v>76</v>
      </c>
    </row>
    <row r="3195" spans="1:9" x14ac:dyDescent="0.3">
      <c r="A3195">
        <v>6328</v>
      </c>
      <c r="B3195" t="s">
        <v>1091</v>
      </c>
      <c r="C3195" t="s">
        <v>92</v>
      </c>
      <c r="D3195" t="s">
        <v>64</v>
      </c>
      <c r="E3195" t="s">
        <v>1956</v>
      </c>
      <c r="F3195" s="13">
        <v>2</v>
      </c>
      <c r="G3195" s="14">
        <v>196.91</v>
      </c>
      <c r="H3195" s="13">
        <v>99</v>
      </c>
      <c r="I3195" t="s">
        <v>76</v>
      </c>
    </row>
    <row r="3196" spans="1:9" x14ac:dyDescent="0.3">
      <c r="A3196">
        <v>6389</v>
      </c>
      <c r="B3196" t="s">
        <v>1963</v>
      </c>
      <c r="C3196" t="s">
        <v>123</v>
      </c>
      <c r="D3196" t="s">
        <v>65</v>
      </c>
      <c r="E3196" t="s">
        <v>1956</v>
      </c>
      <c r="F3196" s="13">
        <v>2</v>
      </c>
      <c r="G3196" s="14">
        <v>2735.65</v>
      </c>
      <c r="H3196" s="13">
        <v>99</v>
      </c>
      <c r="I3196" t="s">
        <v>76</v>
      </c>
    </row>
    <row r="3197" spans="1:9" x14ac:dyDescent="0.3">
      <c r="A3197">
        <v>6815</v>
      </c>
      <c r="B3197" t="s">
        <v>1964</v>
      </c>
      <c r="C3197" t="s">
        <v>123</v>
      </c>
      <c r="D3197" t="s">
        <v>65</v>
      </c>
      <c r="E3197" t="s">
        <v>1956</v>
      </c>
      <c r="F3197" s="13">
        <v>1</v>
      </c>
      <c r="G3197" s="14">
        <v>1559.57</v>
      </c>
      <c r="H3197" s="13">
        <v>99</v>
      </c>
      <c r="I3197" t="s">
        <v>76</v>
      </c>
    </row>
    <row r="3198" spans="1:9" x14ac:dyDescent="0.3">
      <c r="A3198">
        <v>6863</v>
      </c>
      <c r="B3198" t="s">
        <v>431</v>
      </c>
      <c r="C3198" t="s">
        <v>92</v>
      </c>
      <c r="D3198" t="s">
        <v>64</v>
      </c>
      <c r="E3198" t="s">
        <v>1956</v>
      </c>
      <c r="F3198" s="13">
        <v>2</v>
      </c>
      <c r="G3198" s="14">
        <v>10771.86</v>
      </c>
      <c r="H3198" s="13">
        <v>99</v>
      </c>
      <c r="I3198" t="s">
        <v>76</v>
      </c>
    </row>
    <row r="3199" spans="1:9" x14ac:dyDescent="0.3">
      <c r="A3199">
        <v>7951</v>
      </c>
      <c r="B3199" t="s">
        <v>728</v>
      </c>
      <c r="C3199" t="s">
        <v>123</v>
      </c>
      <c r="D3199" t="s">
        <v>65</v>
      </c>
      <c r="E3199" t="s">
        <v>1956</v>
      </c>
      <c r="F3199" s="13">
        <v>2</v>
      </c>
      <c r="G3199" s="14">
        <v>3173.63</v>
      </c>
      <c r="H3199" s="13">
        <v>99</v>
      </c>
      <c r="I3199" t="s">
        <v>76</v>
      </c>
    </row>
    <row r="3200" spans="1:9" x14ac:dyDescent="0.3">
      <c r="A3200">
        <v>231</v>
      </c>
      <c r="B3200" t="s">
        <v>1965</v>
      </c>
      <c r="C3200" t="s">
        <v>133</v>
      </c>
      <c r="D3200" t="s">
        <v>64</v>
      </c>
      <c r="E3200" t="s">
        <v>1966</v>
      </c>
      <c r="F3200" s="13">
        <v>4</v>
      </c>
      <c r="G3200" s="14">
        <v>7957.31</v>
      </c>
      <c r="H3200" s="13">
        <v>98</v>
      </c>
      <c r="I3200" t="s">
        <v>76</v>
      </c>
    </row>
    <row r="3201" spans="1:9" x14ac:dyDescent="0.3">
      <c r="A3201">
        <v>524</v>
      </c>
      <c r="B3201" t="s">
        <v>1588</v>
      </c>
      <c r="C3201" t="s">
        <v>137</v>
      </c>
      <c r="D3201" t="s">
        <v>64</v>
      </c>
      <c r="E3201" t="s">
        <v>1966</v>
      </c>
      <c r="F3201" s="13">
        <v>8</v>
      </c>
      <c r="G3201" s="14">
        <v>22042.39</v>
      </c>
      <c r="H3201" s="13">
        <v>98</v>
      </c>
      <c r="I3201" t="s">
        <v>76</v>
      </c>
    </row>
    <row r="3202" spans="1:9" x14ac:dyDescent="0.3">
      <c r="A3202">
        <v>663</v>
      </c>
      <c r="B3202" t="s">
        <v>142</v>
      </c>
      <c r="C3202" t="s">
        <v>137</v>
      </c>
      <c r="D3202" t="s">
        <v>64</v>
      </c>
      <c r="E3202" t="s">
        <v>1966</v>
      </c>
      <c r="F3202" s="13">
        <v>2</v>
      </c>
      <c r="G3202" s="14">
        <v>1545.77</v>
      </c>
      <c r="H3202" s="13">
        <v>98</v>
      </c>
      <c r="I3202" t="s">
        <v>76</v>
      </c>
    </row>
    <row r="3203" spans="1:9" x14ac:dyDescent="0.3">
      <c r="A3203">
        <v>1023</v>
      </c>
      <c r="B3203" t="s">
        <v>1722</v>
      </c>
      <c r="C3203" t="s">
        <v>95</v>
      </c>
      <c r="D3203" t="s">
        <v>65</v>
      </c>
      <c r="E3203" t="s">
        <v>1966</v>
      </c>
      <c r="F3203" s="13">
        <v>3</v>
      </c>
      <c r="G3203" s="14">
        <v>1319.21</v>
      </c>
      <c r="H3203" s="13">
        <v>98</v>
      </c>
      <c r="I3203" t="s">
        <v>76</v>
      </c>
    </row>
    <row r="3204" spans="1:9" x14ac:dyDescent="0.3">
      <c r="A3204">
        <v>1341</v>
      </c>
      <c r="B3204" t="s">
        <v>1967</v>
      </c>
      <c r="C3204" t="s">
        <v>123</v>
      </c>
      <c r="D3204" t="s">
        <v>65</v>
      </c>
      <c r="E3204" t="s">
        <v>1966</v>
      </c>
      <c r="F3204" s="13">
        <v>1</v>
      </c>
      <c r="G3204" s="14">
        <v>1213</v>
      </c>
      <c r="H3204" s="13">
        <v>98</v>
      </c>
      <c r="I3204" t="s">
        <v>76</v>
      </c>
    </row>
    <row r="3205" spans="1:9" x14ac:dyDescent="0.3">
      <c r="A3205">
        <v>1384</v>
      </c>
      <c r="B3205" t="s">
        <v>366</v>
      </c>
      <c r="C3205" t="s">
        <v>92</v>
      </c>
      <c r="D3205" t="s">
        <v>64</v>
      </c>
      <c r="E3205" t="s">
        <v>1966</v>
      </c>
      <c r="F3205" s="13">
        <v>5</v>
      </c>
      <c r="G3205" s="14">
        <v>10192.17</v>
      </c>
      <c r="H3205" s="13">
        <v>98</v>
      </c>
      <c r="I3205" t="s">
        <v>76</v>
      </c>
    </row>
    <row r="3206" spans="1:9" x14ac:dyDescent="0.3">
      <c r="A3206">
        <v>2030</v>
      </c>
      <c r="B3206" t="s">
        <v>1025</v>
      </c>
      <c r="C3206" t="s">
        <v>92</v>
      </c>
      <c r="D3206" t="s">
        <v>64</v>
      </c>
      <c r="E3206" t="s">
        <v>1966</v>
      </c>
      <c r="F3206" s="13">
        <v>2</v>
      </c>
      <c r="G3206" s="14">
        <v>3547.67</v>
      </c>
      <c r="H3206" s="13">
        <v>98</v>
      </c>
      <c r="I3206" t="s">
        <v>76</v>
      </c>
    </row>
    <row r="3207" spans="1:9" x14ac:dyDescent="0.3">
      <c r="A3207">
        <v>2109</v>
      </c>
      <c r="B3207" t="s">
        <v>1968</v>
      </c>
      <c r="C3207" t="s">
        <v>92</v>
      </c>
      <c r="D3207" t="s">
        <v>64</v>
      </c>
      <c r="E3207" t="s">
        <v>1966</v>
      </c>
      <c r="F3207" s="13">
        <v>3</v>
      </c>
      <c r="G3207" s="14">
        <v>7203.75</v>
      </c>
      <c r="H3207" s="13">
        <v>98</v>
      </c>
      <c r="I3207" t="s">
        <v>76</v>
      </c>
    </row>
    <row r="3208" spans="1:9" x14ac:dyDescent="0.3">
      <c r="A3208">
        <v>2294</v>
      </c>
      <c r="B3208" t="s">
        <v>400</v>
      </c>
      <c r="C3208" t="s">
        <v>92</v>
      </c>
      <c r="D3208" t="s">
        <v>64</v>
      </c>
      <c r="E3208" t="s">
        <v>1966</v>
      </c>
      <c r="F3208" s="13">
        <v>3</v>
      </c>
      <c r="G3208" s="14">
        <v>3261.09</v>
      </c>
      <c r="H3208" s="13">
        <v>98</v>
      </c>
      <c r="I3208" t="s">
        <v>76</v>
      </c>
    </row>
    <row r="3209" spans="1:9" x14ac:dyDescent="0.3">
      <c r="A3209">
        <v>2317</v>
      </c>
      <c r="B3209" t="s">
        <v>1969</v>
      </c>
      <c r="C3209" t="s">
        <v>90</v>
      </c>
      <c r="D3209" t="s">
        <v>66</v>
      </c>
      <c r="E3209" t="s">
        <v>1966</v>
      </c>
      <c r="F3209" s="13">
        <v>1</v>
      </c>
      <c r="G3209" s="14">
        <v>2696.3</v>
      </c>
      <c r="H3209" s="13">
        <v>98</v>
      </c>
      <c r="I3209" t="s">
        <v>76</v>
      </c>
    </row>
    <row r="3210" spans="1:9" x14ac:dyDescent="0.3">
      <c r="A3210">
        <v>2358</v>
      </c>
      <c r="B3210" t="s">
        <v>348</v>
      </c>
      <c r="C3210" t="s">
        <v>95</v>
      </c>
      <c r="D3210" t="s">
        <v>65</v>
      </c>
      <c r="E3210" t="s">
        <v>1966</v>
      </c>
      <c r="F3210" s="13">
        <v>3</v>
      </c>
      <c r="G3210" s="14">
        <v>2973.58</v>
      </c>
      <c r="H3210" s="13">
        <v>98</v>
      </c>
      <c r="I3210" t="s">
        <v>76</v>
      </c>
    </row>
    <row r="3211" spans="1:9" x14ac:dyDescent="0.3">
      <c r="A3211">
        <v>2785</v>
      </c>
      <c r="B3211" t="s">
        <v>135</v>
      </c>
      <c r="C3211" t="s">
        <v>92</v>
      </c>
      <c r="D3211" t="s">
        <v>64</v>
      </c>
      <c r="E3211" t="s">
        <v>1966</v>
      </c>
      <c r="F3211" s="13">
        <v>6</v>
      </c>
      <c r="G3211" s="14">
        <v>13477.99</v>
      </c>
      <c r="H3211" s="13">
        <v>98</v>
      </c>
      <c r="I3211" t="s">
        <v>76</v>
      </c>
    </row>
    <row r="3212" spans="1:9" x14ac:dyDescent="0.3">
      <c r="A3212">
        <v>2828</v>
      </c>
      <c r="B3212" t="s">
        <v>293</v>
      </c>
      <c r="C3212" t="s">
        <v>137</v>
      </c>
      <c r="D3212" t="s">
        <v>64</v>
      </c>
      <c r="E3212" t="s">
        <v>1966</v>
      </c>
      <c r="F3212" s="13">
        <v>3</v>
      </c>
      <c r="G3212" s="14">
        <v>3467.04</v>
      </c>
      <c r="H3212" s="13">
        <v>98</v>
      </c>
      <c r="I3212" t="s">
        <v>76</v>
      </c>
    </row>
    <row r="3213" spans="1:9" x14ac:dyDescent="0.3">
      <c r="A3213">
        <v>2934</v>
      </c>
      <c r="B3213" t="s">
        <v>636</v>
      </c>
      <c r="C3213" t="s">
        <v>97</v>
      </c>
      <c r="D3213" t="s">
        <v>65</v>
      </c>
      <c r="E3213" t="s">
        <v>1966</v>
      </c>
      <c r="F3213" s="13">
        <v>2</v>
      </c>
      <c r="G3213" s="14">
        <v>821.87</v>
      </c>
      <c r="H3213" s="13">
        <v>98</v>
      </c>
      <c r="I3213" t="s">
        <v>76</v>
      </c>
    </row>
    <row r="3214" spans="1:9" x14ac:dyDescent="0.3">
      <c r="A3214">
        <v>3638</v>
      </c>
      <c r="B3214" t="s">
        <v>564</v>
      </c>
      <c r="C3214" t="s">
        <v>137</v>
      </c>
      <c r="D3214" t="s">
        <v>64</v>
      </c>
      <c r="E3214" t="s">
        <v>1966</v>
      </c>
      <c r="F3214" s="13">
        <v>2</v>
      </c>
      <c r="G3214" s="14">
        <v>13355.85</v>
      </c>
      <c r="H3214" s="13">
        <v>98</v>
      </c>
      <c r="I3214" t="s">
        <v>76</v>
      </c>
    </row>
    <row r="3215" spans="1:9" x14ac:dyDescent="0.3">
      <c r="A3215">
        <v>3925</v>
      </c>
      <c r="B3215" t="s">
        <v>1970</v>
      </c>
      <c r="C3215" t="s">
        <v>92</v>
      </c>
      <c r="D3215" t="s">
        <v>64</v>
      </c>
      <c r="E3215" t="s">
        <v>1966</v>
      </c>
      <c r="F3215" s="13">
        <v>2</v>
      </c>
      <c r="G3215" s="14">
        <v>5097.3999999999996</v>
      </c>
      <c r="H3215" s="13">
        <v>98</v>
      </c>
      <c r="I3215" t="s">
        <v>76</v>
      </c>
    </row>
    <row r="3216" spans="1:9" x14ac:dyDescent="0.3">
      <c r="A3216">
        <v>3927</v>
      </c>
      <c r="B3216" t="s">
        <v>293</v>
      </c>
      <c r="C3216" t="s">
        <v>121</v>
      </c>
      <c r="D3216" t="s">
        <v>67</v>
      </c>
      <c r="E3216" t="s">
        <v>1966</v>
      </c>
      <c r="F3216" s="13">
        <v>1</v>
      </c>
      <c r="G3216" s="14">
        <v>1127.6600000000001</v>
      </c>
      <c r="H3216" s="13">
        <v>98</v>
      </c>
      <c r="I3216" t="s">
        <v>76</v>
      </c>
    </row>
    <row r="3217" spans="1:9" x14ac:dyDescent="0.3">
      <c r="A3217">
        <v>4068</v>
      </c>
      <c r="B3217" t="s">
        <v>415</v>
      </c>
      <c r="C3217" t="s">
        <v>87</v>
      </c>
      <c r="D3217" t="s">
        <v>64</v>
      </c>
      <c r="E3217" t="s">
        <v>1966</v>
      </c>
      <c r="F3217" s="13">
        <v>1</v>
      </c>
      <c r="G3217" s="14">
        <v>910.79</v>
      </c>
      <c r="H3217" s="13">
        <v>98</v>
      </c>
      <c r="I3217" t="s">
        <v>76</v>
      </c>
    </row>
    <row r="3218" spans="1:9" x14ac:dyDescent="0.3">
      <c r="A3218">
        <v>4127</v>
      </c>
      <c r="B3218" t="s">
        <v>1971</v>
      </c>
      <c r="C3218" t="s">
        <v>137</v>
      </c>
      <c r="D3218" t="s">
        <v>64</v>
      </c>
      <c r="E3218" t="s">
        <v>1966</v>
      </c>
      <c r="F3218" s="13">
        <v>2</v>
      </c>
      <c r="G3218" s="14">
        <v>1523.79</v>
      </c>
      <c r="H3218" s="13">
        <v>98</v>
      </c>
      <c r="I3218" t="s">
        <v>76</v>
      </c>
    </row>
    <row r="3219" spans="1:9" x14ac:dyDescent="0.3">
      <c r="A3219">
        <v>4199</v>
      </c>
      <c r="B3219" t="s">
        <v>1972</v>
      </c>
      <c r="C3219" t="s">
        <v>92</v>
      </c>
      <c r="D3219" t="s">
        <v>64</v>
      </c>
      <c r="E3219" t="s">
        <v>1966</v>
      </c>
      <c r="F3219" s="13">
        <v>4</v>
      </c>
      <c r="G3219" s="14">
        <v>17181.05</v>
      </c>
      <c r="H3219" s="13">
        <v>98</v>
      </c>
      <c r="I3219" t="s">
        <v>76</v>
      </c>
    </row>
    <row r="3220" spans="1:9" x14ac:dyDescent="0.3">
      <c r="A3220">
        <v>4532</v>
      </c>
      <c r="B3220" t="s">
        <v>1973</v>
      </c>
      <c r="C3220" t="s">
        <v>92</v>
      </c>
      <c r="D3220" t="s">
        <v>64</v>
      </c>
      <c r="E3220" t="s">
        <v>1966</v>
      </c>
      <c r="F3220" s="13">
        <v>2</v>
      </c>
      <c r="G3220" s="14">
        <v>5886.66</v>
      </c>
      <c r="H3220" s="13">
        <v>98</v>
      </c>
      <c r="I3220" t="s">
        <v>76</v>
      </c>
    </row>
    <row r="3221" spans="1:9" x14ac:dyDescent="0.3">
      <c r="A3221">
        <v>7255</v>
      </c>
      <c r="B3221" t="s">
        <v>588</v>
      </c>
      <c r="C3221" t="s">
        <v>137</v>
      </c>
      <c r="D3221" t="s">
        <v>64</v>
      </c>
      <c r="E3221" t="s">
        <v>1966</v>
      </c>
      <c r="F3221" s="13">
        <v>1</v>
      </c>
      <c r="G3221" s="14">
        <v>1182.1400000000001</v>
      </c>
      <c r="H3221" s="13">
        <v>98</v>
      </c>
      <c r="I3221" t="s">
        <v>76</v>
      </c>
    </row>
    <row r="3222" spans="1:9" x14ac:dyDescent="0.3">
      <c r="A3222">
        <v>7851</v>
      </c>
      <c r="B3222" t="s">
        <v>582</v>
      </c>
      <c r="C3222" t="s">
        <v>87</v>
      </c>
      <c r="D3222" t="s">
        <v>64</v>
      </c>
      <c r="E3222" t="s">
        <v>1966</v>
      </c>
      <c r="F3222" s="13">
        <v>3</v>
      </c>
      <c r="G3222" s="14">
        <v>7317.85</v>
      </c>
      <c r="H3222" s="13">
        <v>98</v>
      </c>
      <c r="I3222" t="s">
        <v>76</v>
      </c>
    </row>
    <row r="3223" spans="1:9" x14ac:dyDescent="0.3">
      <c r="A3223">
        <v>8849</v>
      </c>
      <c r="B3223" t="s">
        <v>135</v>
      </c>
      <c r="C3223" t="s">
        <v>90</v>
      </c>
      <c r="D3223" t="s">
        <v>66</v>
      </c>
      <c r="E3223" t="s">
        <v>1966</v>
      </c>
      <c r="F3223" s="13">
        <v>5</v>
      </c>
      <c r="G3223" s="14">
        <v>7047.89</v>
      </c>
      <c r="H3223" s="13">
        <v>98</v>
      </c>
      <c r="I3223" t="s">
        <v>76</v>
      </c>
    </row>
    <row r="3224" spans="1:9" x14ac:dyDescent="0.3">
      <c r="A3224">
        <v>722</v>
      </c>
      <c r="B3224" t="s">
        <v>1974</v>
      </c>
      <c r="C3224" t="s">
        <v>133</v>
      </c>
      <c r="D3224" t="s">
        <v>64</v>
      </c>
      <c r="E3224" t="s">
        <v>1975</v>
      </c>
      <c r="F3224" s="13">
        <v>1</v>
      </c>
      <c r="G3224" s="14">
        <v>1110.28</v>
      </c>
      <c r="H3224" s="13">
        <v>97</v>
      </c>
      <c r="I3224" t="s">
        <v>76</v>
      </c>
    </row>
    <row r="3225" spans="1:9" x14ac:dyDescent="0.3">
      <c r="A3225">
        <v>857</v>
      </c>
      <c r="B3225" t="s">
        <v>1976</v>
      </c>
      <c r="C3225" t="s">
        <v>97</v>
      </c>
      <c r="D3225" t="s">
        <v>65</v>
      </c>
      <c r="E3225" t="s">
        <v>1975</v>
      </c>
      <c r="F3225" s="13">
        <v>1</v>
      </c>
      <c r="G3225" s="14">
        <v>156.02000000000001</v>
      </c>
      <c r="H3225" s="13">
        <v>97</v>
      </c>
      <c r="I3225" t="s">
        <v>76</v>
      </c>
    </row>
    <row r="3226" spans="1:9" x14ac:dyDescent="0.3">
      <c r="A3226">
        <v>1708</v>
      </c>
      <c r="B3226" t="s">
        <v>1531</v>
      </c>
      <c r="C3226" t="s">
        <v>97</v>
      </c>
      <c r="D3226" t="s">
        <v>65</v>
      </c>
      <c r="E3226" t="s">
        <v>1975</v>
      </c>
      <c r="F3226" s="13">
        <v>2</v>
      </c>
      <c r="G3226" s="14">
        <v>683.46</v>
      </c>
      <c r="H3226" s="13">
        <v>97</v>
      </c>
      <c r="I3226" t="s">
        <v>76</v>
      </c>
    </row>
    <row r="3227" spans="1:9" x14ac:dyDescent="0.3">
      <c r="A3227">
        <v>2015</v>
      </c>
      <c r="B3227" t="s">
        <v>793</v>
      </c>
      <c r="C3227" t="s">
        <v>103</v>
      </c>
      <c r="D3227" t="s">
        <v>67</v>
      </c>
      <c r="E3227" t="s">
        <v>1975</v>
      </c>
      <c r="F3227" s="13">
        <v>2</v>
      </c>
      <c r="G3227" s="14">
        <v>2275.31</v>
      </c>
      <c r="H3227" s="13">
        <v>97</v>
      </c>
      <c r="I3227" t="s">
        <v>76</v>
      </c>
    </row>
    <row r="3228" spans="1:9" x14ac:dyDescent="0.3">
      <c r="A3228">
        <v>2433</v>
      </c>
      <c r="B3228" t="s">
        <v>1977</v>
      </c>
      <c r="C3228" t="s">
        <v>92</v>
      </c>
      <c r="D3228" t="s">
        <v>64</v>
      </c>
      <c r="E3228" t="s">
        <v>1975</v>
      </c>
      <c r="F3228" s="13">
        <v>2</v>
      </c>
      <c r="G3228" s="14">
        <v>1927</v>
      </c>
      <c r="H3228" s="13">
        <v>97</v>
      </c>
      <c r="I3228" t="s">
        <v>76</v>
      </c>
    </row>
    <row r="3229" spans="1:9" x14ac:dyDescent="0.3">
      <c r="A3229">
        <v>3665</v>
      </c>
      <c r="B3229" t="s">
        <v>543</v>
      </c>
      <c r="C3229" t="s">
        <v>123</v>
      </c>
      <c r="D3229" t="s">
        <v>65</v>
      </c>
      <c r="E3229" t="s">
        <v>1975</v>
      </c>
      <c r="F3229" s="13">
        <v>2</v>
      </c>
      <c r="G3229" s="14">
        <v>1192.73</v>
      </c>
      <c r="H3229" s="13">
        <v>97</v>
      </c>
      <c r="I3229" t="s">
        <v>76</v>
      </c>
    </row>
    <row r="3230" spans="1:9" x14ac:dyDescent="0.3">
      <c r="A3230">
        <v>4705</v>
      </c>
      <c r="B3230" t="s">
        <v>323</v>
      </c>
      <c r="C3230" t="s">
        <v>95</v>
      </c>
      <c r="D3230" t="s">
        <v>65</v>
      </c>
      <c r="E3230" t="s">
        <v>1975</v>
      </c>
      <c r="F3230" s="13">
        <v>5</v>
      </c>
      <c r="G3230" s="14">
        <v>3543.69</v>
      </c>
      <c r="H3230" s="13">
        <v>97</v>
      </c>
      <c r="I3230" t="s">
        <v>76</v>
      </c>
    </row>
    <row r="3231" spans="1:9" x14ac:dyDescent="0.3">
      <c r="A3231">
        <v>5059</v>
      </c>
      <c r="B3231" t="s">
        <v>363</v>
      </c>
      <c r="C3231" t="s">
        <v>92</v>
      </c>
      <c r="D3231" t="s">
        <v>64</v>
      </c>
      <c r="E3231" t="s">
        <v>1975</v>
      </c>
      <c r="F3231" s="13">
        <v>2</v>
      </c>
      <c r="G3231" s="14">
        <v>676.39</v>
      </c>
      <c r="H3231" s="13">
        <v>97</v>
      </c>
      <c r="I3231" t="s">
        <v>76</v>
      </c>
    </row>
    <row r="3232" spans="1:9" x14ac:dyDescent="0.3">
      <c r="A3232">
        <v>5098</v>
      </c>
      <c r="B3232" t="s">
        <v>182</v>
      </c>
      <c r="C3232" t="s">
        <v>137</v>
      </c>
      <c r="D3232" t="s">
        <v>64</v>
      </c>
      <c r="E3232" t="s">
        <v>1975</v>
      </c>
      <c r="F3232" s="13">
        <v>1</v>
      </c>
      <c r="G3232" s="14">
        <v>1252.27</v>
      </c>
      <c r="H3232" s="13">
        <v>97</v>
      </c>
      <c r="I3232" t="s">
        <v>76</v>
      </c>
    </row>
    <row r="3233" spans="1:9" x14ac:dyDescent="0.3">
      <c r="A3233">
        <v>6081</v>
      </c>
      <c r="B3233" t="s">
        <v>1978</v>
      </c>
      <c r="C3233" t="s">
        <v>249</v>
      </c>
      <c r="D3233" t="s">
        <v>67</v>
      </c>
      <c r="E3233" t="s">
        <v>1975</v>
      </c>
      <c r="F3233" s="13">
        <v>2</v>
      </c>
      <c r="G3233" s="14">
        <v>6760.1</v>
      </c>
      <c r="H3233" s="13">
        <v>97</v>
      </c>
      <c r="I3233" t="s">
        <v>76</v>
      </c>
    </row>
    <row r="3234" spans="1:9" x14ac:dyDescent="0.3">
      <c r="A3234">
        <v>6768</v>
      </c>
      <c r="B3234" t="s">
        <v>751</v>
      </c>
      <c r="C3234" t="s">
        <v>87</v>
      </c>
      <c r="D3234" t="s">
        <v>64</v>
      </c>
      <c r="E3234" t="s">
        <v>1975</v>
      </c>
      <c r="F3234" s="13">
        <v>2</v>
      </c>
      <c r="G3234" s="14">
        <v>10934.34</v>
      </c>
      <c r="H3234" s="13">
        <v>97</v>
      </c>
      <c r="I3234" t="s">
        <v>76</v>
      </c>
    </row>
    <row r="3235" spans="1:9" x14ac:dyDescent="0.3">
      <c r="A3235">
        <v>7065</v>
      </c>
      <c r="B3235" t="s">
        <v>415</v>
      </c>
      <c r="C3235" t="s">
        <v>92</v>
      </c>
      <c r="D3235" t="s">
        <v>64</v>
      </c>
      <c r="E3235" t="s">
        <v>1975</v>
      </c>
      <c r="F3235" s="13">
        <v>2</v>
      </c>
      <c r="G3235" s="14">
        <v>1934.53</v>
      </c>
      <c r="H3235" s="13">
        <v>97</v>
      </c>
      <c r="I3235" t="s">
        <v>76</v>
      </c>
    </row>
    <row r="3236" spans="1:9" x14ac:dyDescent="0.3">
      <c r="A3236">
        <v>7084</v>
      </c>
      <c r="B3236" t="s">
        <v>782</v>
      </c>
      <c r="C3236" t="s">
        <v>123</v>
      </c>
      <c r="D3236" t="s">
        <v>65</v>
      </c>
      <c r="E3236" t="s">
        <v>1975</v>
      </c>
      <c r="F3236" s="13">
        <v>1</v>
      </c>
      <c r="G3236" s="14">
        <v>490.93</v>
      </c>
      <c r="H3236" s="13">
        <v>97</v>
      </c>
      <c r="I3236" t="s">
        <v>76</v>
      </c>
    </row>
    <row r="3237" spans="1:9" x14ac:dyDescent="0.3">
      <c r="A3237">
        <v>7209</v>
      </c>
      <c r="B3237" t="s">
        <v>348</v>
      </c>
      <c r="C3237" t="s">
        <v>97</v>
      </c>
      <c r="D3237" t="s">
        <v>65</v>
      </c>
      <c r="E3237" t="s">
        <v>1975</v>
      </c>
      <c r="F3237" s="13">
        <v>5</v>
      </c>
      <c r="G3237" s="14">
        <v>9673.15</v>
      </c>
      <c r="H3237" s="13">
        <v>97</v>
      </c>
      <c r="I3237" t="s">
        <v>76</v>
      </c>
    </row>
    <row r="3238" spans="1:9" x14ac:dyDescent="0.3">
      <c r="A3238">
        <v>7355</v>
      </c>
      <c r="B3238" t="s">
        <v>1314</v>
      </c>
      <c r="C3238" t="s">
        <v>121</v>
      </c>
      <c r="D3238" t="s">
        <v>67</v>
      </c>
      <c r="E3238" t="s">
        <v>1975</v>
      </c>
      <c r="F3238" s="13">
        <v>4</v>
      </c>
      <c r="G3238" s="14">
        <v>2251.36</v>
      </c>
      <c r="H3238" s="13">
        <v>97</v>
      </c>
      <c r="I3238" t="s">
        <v>76</v>
      </c>
    </row>
    <row r="3239" spans="1:9" x14ac:dyDescent="0.3">
      <c r="A3239">
        <v>7742</v>
      </c>
      <c r="B3239" t="s">
        <v>1328</v>
      </c>
      <c r="C3239" t="s">
        <v>92</v>
      </c>
      <c r="D3239" t="s">
        <v>64</v>
      </c>
      <c r="E3239" t="s">
        <v>1975</v>
      </c>
      <c r="F3239" s="13">
        <v>3</v>
      </c>
      <c r="G3239" s="14">
        <v>7282.43</v>
      </c>
      <c r="H3239" s="13">
        <v>97</v>
      </c>
      <c r="I3239" t="s">
        <v>76</v>
      </c>
    </row>
    <row r="3240" spans="1:9" x14ac:dyDescent="0.3">
      <c r="A3240">
        <v>8234</v>
      </c>
      <c r="B3240" t="s">
        <v>1059</v>
      </c>
      <c r="C3240" t="s">
        <v>92</v>
      </c>
      <c r="D3240" t="s">
        <v>64</v>
      </c>
      <c r="E3240" t="s">
        <v>1975</v>
      </c>
      <c r="F3240" s="13">
        <v>5</v>
      </c>
      <c r="G3240" s="14">
        <v>11631.15</v>
      </c>
      <c r="H3240" s="13">
        <v>97</v>
      </c>
      <c r="I3240" t="s">
        <v>76</v>
      </c>
    </row>
    <row r="3241" spans="1:9" x14ac:dyDescent="0.3">
      <c r="A3241">
        <v>994</v>
      </c>
      <c r="B3241" t="s">
        <v>1967</v>
      </c>
      <c r="C3241" t="s">
        <v>114</v>
      </c>
      <c r="D3241" t="s">
        <v>66</v>
      </c>
      <c r="E3241" t="s">
        <v>1979</v>
      </c>
      <c r="F3241" s="13">
        <v>2</v>
      </c>
      <c r="G3241" s="14">
        <v>1694.47</v>
      </c>
      <c r="H3241" s="13">
        <v>96</v>
      </c>
      <c r="I3241" t="s">
        <v>76</v>
      </c>
    </row>
    <row r="3242" spans="1:9" x14ac:dyDescent="0.3">
      <c r="A3242">
        <v>1641</v>
      </c>
      <c r="B3242" t="s">
        <v>494</v>
      </c>
      <c r="C3242" t="s">
        <v>249</v>
      </c>
      <c r="D3242" t="s">
        <v>67</v>
      </c>
      <c r="E3242" t="s">
        <v>1979</v>
      </c>
      <c r="F3242" s="13">
        <v>1</v>
      </c>
      <c r="G3242" s="14">
        <v>4398.57</v>
      </c>
      <c r="H3242" s="13">
        <v>96</v>
      </c>
      <c r="I3242" t="s">
        <v>76</v>
      </c>
    </row>
    <row r="3243" spans="1:9" x14ac:dyDescent="0.3">
      <c r="A3243">
        <v>2306</v>
      </c>
      <c r="B3243" t="s">
        <v>668</v>
      </c>
      <c r="C3243" t="s">
        <v>133</v>
      </c>
      <c r="D3243" t="s">
        <v>64</v>
      </c>
      <c r="E3243" t="s">
        <v>1979</v>
      </c>
      <c r="F3243" s="13">
        <v>2</v>
      </c>
      <c r="G3243" s="14">
        <v>4797.3</v>
      </c>
      <c r="H3243" s="13">
        <v>96</v>
      </c>
      <c r="I3243" t="s">
        <v>76</v>
      </c>
    </row>
    <row r="3244" spans="1:9" x14ac:dyDescent="0.3">
      <c r="A3244">
        <v>2607</v>
      </c>
      <c r="B3244" t="s">
        <v>1612</v>
      </c>
      <c r="C3244" t="s">
        <v>133</v>
      </c>
      <c r="D3244" t="s">
        <v>64</v>
      </c>
      <c r="E3244" t="s">
        <v>1979</v>
      </c>
      <c r="F3244" s="13">
        <v>6</v>
      </c>
      <c r="G3244" s="14">
        <v>13713.19</v>
      </c>
      <c r="H3244" s="13">
        <v>96</v>
      </c>
      <c r="I3244" t="s">
        <v>76</v>
      </c>
    </row>
    <row r="3245" spans="1:9" x14ac:dyDescent="0.3">
      <c r="A3245">
        <v>2702</v>
      </c>
      <c r="B3245" t="s">
        <v>182</v>
      </c>
      <c r="C3245" t="s">
        <v>92</v>
      </c>
      <c r="D3245" t="s">
        <v>64</v>
      </c>
      <c r="E3245" t="s">
        <v>1979</v>
      </c>
      <c r="F3245" s="13">
        <v>1</v>
      </c>
      <c r="G3245" s="14">
        <v>232.67</v>
      </c>
      <c r="H3245" s="13">
        <v>96</v>
      </c>
      <c r="I3245" t="s">
        <v>76</v>
      </c>
    </row>
    <row r="3246" spans="1:9" x14ac:dyDescent="0.3">
      <c r="A3246">
        <v>2729</v>
      </c>
      <c r="B3246" t="s">
        <v>1980</v>
      </c>
      <c r="C3246" t="s">
        <v>92</v>
      </c>
      <c r="D3246" t="s">
        <v>64</v>
      </c>
      <c r="E3246" t="s">
        <v>1979</v>
      </c>
      <c r="F3246" s="13">
        <v>5</v>
      </c>
      <c r="G3246" s="14">
        <v>11860.72</v>
      </c>
      <c r="H3246" s="13">
        <v>96</v>
      </c>
      <c r="I3246" t="s">
        <v>76</v>
      </c>
    </row>
    <row r="3247" spans="1:9" x14ac:dyDescent="0.3">
      <c r="A3247">
        <v>2762</v>
      </c>
      <c r="B3247" t="s">
        <v>519</v>
      </c>
      <c r="C3247" t="s">
        <v>97</v>
      </c>
      <c r="D3247" t="s">
        <v>65</v>
      </c>
      <c r="E3247" t="s">
        <v>1979</v>
      </c>
      <c r="F3247" s="13">
        <v>4</v>
      </c>
      <c r="G3247" s="14">
        <v>4589.0600000000004</v>
      </c>
      <c r="H3247" s="13">
        <v>96</v>
      </c>
      <c r="I3247" t="s">
        <v>76</v>
      </c>
    </row>
    <row r="3248" spans="1:9" x14ac:dyDescent="0.3">
      <c r="A3248">
        <v>3146</v>
      </c>
      <c r="B3248" t="s">
        <v>283</v>
      </c>
      <c r="C3248" t="s">
        <v>92</v>
      </c>
      <c r="D3248" t="s">
        <v>64</v>
      </c>
      <c r="E3248" t="s">
        <v>1979</v>
      </c>
      <c r="F3248" s="13">
        <v>2</v>
      </c>
      <c r="G3248" s="14">
        <v>4945.5600000000004</v>
      </c>
      <c r="H3248" s="13">
        <v>96</v>
      </c>
      <c r="I3248" t="s">
        <v>76</v>
      </c>
    </row>
    <row r="3249" spans="1:9" x14ac:dyDescent="0.3">
      <c r="A3249">
        <v>4032</v>
      </c>
      <c r="B3249" t="s">
        <v>582</v>
      </c>
      <c r="C3249" t="s">
        <v>92</v>
      </c>
      <c r="D3249" t="s">
        <v>64</v>
      </c>
      <c r="E3249" t="s">
        <v>1979</v>
      </c>
      <c r="F3249" s="13">
        <v>1</v>
      </c>
      <c r="G3249" s="14">
        <v>1116.6099999999999</v>
      </c>
      <c r="H3249" s="13">
        <v>96</v>
      </c>
      <c r="I3249" t="s">
        <v>76</v>
      </c>
    </row>
    <row r="3250" spans="1:9" x14ac:dyDescent="0.3">
      <c r="A3250">
        <v>4204</v>
      </c>
      <c r="B3250" t="s">
        <v>509</v>
      </c>
      <c r="C3250" t="s">
        <v>92</v>
      </c>
      <c r="D3250" t="s">
        <v>64</v>
      </c>
      <c r="E3250" t="s">
        <v>1979</v>
      </c>
      <c r="F3250" s="13">
        <v>1</v>
      </c>
      <c r="G3250" s="14">
        <v>1351.11</v>
      </c>
      <c r="H3250" s="13">
        <v>96</v>
      </c>
      <c r="I3250" t="s">
        <v>76</v>
      </c>
    </row>
    <row r="3251" spans="1:9" x14ac:dyDescent="0.3">
      <c r="A3251">
        <v>4249</v>
      </c>
      <c r="B3251" t="s">
        <v>1549</v>
      </c>
      <c r="C3251" t="s">
        <v>103</v>
      </c>
      <c r="D3251" t="s">
        <v>67</v>
      </c>
      <c r="E3251" t="s">
        <v>1979</v>
      </c>
      <c r="F3251" s="13">
        <v>2</v>
      </c>
      <c r="G3251" s="14">
        <v>5785.15</v>
      </c>
      <c r="H3251" s="13">
        <v>96</v>
      </c>
      <c r="I3251" t="s">
        <v>76</v>
      </c>
    </row>
    <row r="3252" spans="1:9" x14ac:dyDescent="0.3">
      <c r="A3252">
        <v>4471</v>
      </c>
      <c r="B3252" t="s">
        <v>1981</v>
      </c>
      <c r="C3252" t="s">
        <v>92</v>
      </c>
      <c r="D3252" t="s">
        <v>64</v>
      </c>
      <c r="E3252" t="s">
        <v>1979</v>
      </c>
      <c r="F3252" s="13">
        <v>1</v>
      </c>
      <c r="G3252" s="14">
        <v>752.17</v>
      </c>
      <c r="H3252" s="13">
        <v>96</v>
      </c>
      <c r="I3252" t="s">
        <v>76</v>
      </c>
    </row>
    <row r="3253" spans="1:9" x14ac:dyDescent="0.3">
      <c r="A3253">
        <v>4480</v>
      </c>
      <c r="B3253" t="s">
        <v>735</v>
      </c>
      <c r="C3253" t="s">
        <v>92</v>
      </c>
      <c r="D3253" t="s">
        <v>64</v>
      </c>
      <c r="E3253" t="s">
        <v>1979</v>
      </c>
      <c r="F3253" s="13">
        <v>3</v>
      </c>
      <c r="G3253" s="14">
        <v>9001.09</v>
      </c>
      <c r="H3253" s="13">
        <v>96</v>
      </c>
      <c r="I3253" t="s">
        <v>76</v>
      </c>
    </row>
    <row r="3254" spans="1:9" x14ac:dyDescent="0.3">
      <c r="A3254">
        <v>4595</v>
      </c>
      <c r="B3254" t="s">
        <v>1025</v>
      </c>
      <c r="C3254" t="s">
        <v>249</v>
      </c>
      <c r="D3254" t="s">
        <v>67</v>
      </c>
      <c r="E3254" t="s">
        <v>1979</v>
      </c>
      <c r="F3254" s="13">
        <v>3</v>
      </c>
      <c r="G3254" s="14">
        <v>5419.83</v>
      </c>
      <c r="H3254" s="13">
        <v>96</v>
      </c>
      <c r="I3254" t="s">
        <v>76</v>
      </c>
    </row>
    <row r="3255" spans="1:9" x14ac:dyDescent="0.3">
      <c r="A3255">
        <v>4887</v>
      </c>
      <c r="B3255" t="s">
        <v>321</v>
      </c>
      <c r="C3255" t="s">
        <v>133</v>
      </c>
      <c r="D3255" t="s">
        <v>64</v>
      </c>
      <c r="E3255" t="s">
        <v>1979</v>
      </c>
      <c r="F3255" s="13">
        <v>1</v>
      </c>
      <c r="G3255" s="14">
        <v>1230.93</v>
      </c>
      <c r="H3255" s="13">
        <v>96</v>
      </c>
      <c r="I3255" t="s">
        <v>76</v>
      </c>
    </row>
    <row r="3256" spans="1:9" x14ac:dyDescent="0.3">
      <c r="A3256">
        <v>4910</v>
      </c>
      <c r="B3256" t="s">
        <v>1982</v>
      </c>
      <c r="C3256" t="s">
        <v>249</v>
      </c>
      <c r="D3256" t="s">
        <v>67</v>
      </c>
      <c r="E3256" t="s">
        <v>1979</v>
      </c>
      <c r="F3256" s="13">
        <v>1</v>
      </c>
      <c r="G3256" s="14">
        <v>386.63</v>
      </c>
      <c r="H3256" s="13">
        <v>96</v>
      </c>
      <c r="I3256" t="s">
        <v>76</v>
      </c>
    </row>
    <row r="3257" spans="1:9" x14ac:dyDescent="0.3">
      <c r="A3257">
        <v>5130</v>
      </c>
      <c r="B3257" t="s">
        <v>1873</v>
      </c>
      <c r="C3257" t="s">
        <v>97</v>
      </c>
      <c r="D3257" t="s">
        <v>65</v>
      </c>
      <c r="E3257" t="s">
        <v>1979</v>
      </c>
      <c r="F3257" s="13">
        <v>5</v>
      </c>
      <c r="G3257" s="14">
        <v>11769.15</v>
      </c>
      <c r="H3257" s="13">
        <v>96</v>
      </c>
      <c r="I3257" t="s">
        <v>76</v>
      </c>
    </row>
    <row r="3258" spans="1:9" x14ac:dyDescent="0.3">
      <c r="A3258">
        <v>5310</v>
      </c>
      <c r="B3258" t="s">
        <v>588</v>
      </c>
      <c r="C3258" t="s">
        <v>473</v>
      </c>
      <c r="D3258" t="s">
        <v>68</v>
      </c>
      <c r="E3258" t="s">
        <v>1979</v>
      </c>
      <c r="F3258" s="13">
        <v>2</v>
      </c>
      <c r="G3258" s="14">
        <v>2444.7600000000002</v>
      </c>
      <c r="H3258" s="13">
        <v>96</v>
      </c>
      <c r="I3258" t="s">
        <v>76</v>
      </c>
    </row>
    <row r="3259" spans="1:9" x14ac:dyDescent="0.3">
      <c r="A3259">
        <v>5558</v>
      </c>
      <c r="B3259" t="s">
        <v>460</v>
      </c>
      <c r="C3259" t="s">
        <v>92</v>
      </c>
      <c r="D3259" t="s">
        <v>64</v>
      </c>
      <c r="E3259" t="s">
        <v>1979</v>
      </c>
      <c r="F3259" s="13">
        <v>3</v>
      </c>
      <c r="G3259" s="14">
        <v>7732.88</v>
      </c>
      <c r="H3259" s="13">
        <v>96</v>
      </c>
      <c r="I3259" t="s">
        <v>76</v>
      </c>
    </row>
    <row r="3260" spans="1:9" x14ac:dyDescent="0.3">
      <c r="A3260">
        <v>5873</v>
      </c>
      <c r="B3260" t="s">
        <v>1983</v>
      </c>
      <c r="C3260" t="s">
        <v>137</v>
      </c>
      <c r="D3260" t="s">
        <v>64</v>
      </c>
      <c r="E3260" t="s">
        <v>1979</v>
      </c>
      <c r="F3260" s="13">
        <v>3</v>
      </c>
      <c r="G3260" s="14">
        <v>7864.24</v>
      </c>
      <c r="H3260" s="13">
        <v>96</v>
      </c>
      <c r="I3260" t="s">
        <v>76</v>
      </c>
    </row>
    <row r="3261" spans="1:9" x14ac:dyDescent="0.3">
      <c r="A3261">
        <v>5963</v>
      </c>
      <c r="B3261" t="s">
        <v>283</v>
      </c>
      <c r="C3261" t="s">
        <v>100</v>
      </c>
      <c r="D3261" t="s">
        <v>66</v>
      </c>
      <c r="E3261" t="s">
        <v>1979</v>
      </c>
      <c r="F3261" s="13">
        <v>5</v>
      </c>
      <c r="G3261" s="14">
        <v>4811.63</v>
      </c>
      <c r="H3261" s="13">
        <v>96</v>
      </c>
      <c r="I3261" t="s">
        <v>76</v>
      </c>
    </row>
    <row r="3262" spans="1:9" x14ac:dyDescent="0.3">
      <c r="A3262">
        <v>6248</v>
      </c>
      <c r="B3262" t="s">
        <v>1984</v>
      </c>
      <c r="C3262" t="s">
        <v>92</v>
      </c>
      <c r="D3262" t="s">
        <v>64</v>
      </c>
      <c r="E3262" t="s">
        <v>1979</v>
      </c>
      <c r="F3262" s="13">
        <v>1</v>
      </c>
      <c r="G3262" s="14">
        <v>375.12</v>
      </c>
      <c r="H3262" s="13">
        <v>96</v>
      </c>
      <c r="I3262" t="s">
        <v>76</v>
      </c>
    </row>
    <row r="3263" spans="1:9" x14ac:dyDescent="0.3">
      <c r="A3263">
        <v>6430</v>
      </c>
      <c r="B3263" t="s">
        <v>1985</v>
      </c>
      <c r="C3263" t="s">
        <v>97</v>
      </c>
      <c r="D3263" t="s">
        <v>65</v>
      </c>
      <c r="E3263" t="s">
        <v>1979</v>
      </c>
      <c r="F3263" s="13">
        <v>5</v>
      </c>
      <c r="G3263" s="14">
        <v>8391.1</v>
      </c>
      <c r="H3263" s="13">
        <v>96</v>
      </c>
      <c r="I3263" t="s">
        <v>76</v>
      </c>
    </row>
    <row r="3264" spans="1:9" x14ac:dyDescent="0.3">
      <c r="A3264">
        <v>6633</v>
      </c>
      <c r="B3264" t="s">
        <v>400</v>
      </c>
      <c r="C3264" t="s">
        <v>92</v>
      </c>
      <c r="D3264" t="s">
        <v>64</v>
      </c>
      <c r="E3264" t="s">
        <v>1979</v>
      </c>
      <c r="F3264" s="13">
        <v>6</v>
      </c>
      <c r="G3264" s="14">
        <v>16162.39</v>
      </c>
      <c r="H3264" s="13">
        <v>96</v>
      </c>
      <c r="I3264" t="s">
        <v>76</v>
      </c>
    </row>
    <row r="3265" spans="1:9" x14ac:dyDescent="0.3">
      <c r="A3265">
        <v>6822</v>
      </c>
      <c r="B3265" t="s">
        <v>94</v>
      </c>
      <c r="C3265" t="s">
        <v>137</v>
      </c>
      <c r="D3265" t="s">
        <v>64</v>
      </c>
      <c r="E3265" t="s">
        <v>1979</v>
      </c>
      <c r="F3265" s="13">
        <v>2</v>
      </c>
      <c r="G3265" s="14">
        <v>5264.21</v>
      </c>
      <c r="H3265" s="13">
        <v>96</v>
      </c>
      <c r="I3265" t="s">
        <v>76</v>
      </c>
    </row>
    <row r="3266" spans="1:9" x14ac:dyDescent="0.3">
      <c r="A3266">
        <v>6975</v>
      </c>
      <c r="B3266" t="s">
        <v>293</v>
      </c>
      <c r="C3266" t="s">
        <v>123</v>
      </c>
      <c r="D3266" t="s">
        <v>65</v>
      </c>
      <c r="E3266" t="s">
        <v>1979</v>
      </c>
      <c r="F3266" s="13">
        <v>2</v>
      </c>
      <c r="G3266" s="14">
        <v>4408.97</v>
      </c>
      <c r="H3266" s="13">
        <v>96</v>
      </c>
      <c r="I3266" t="s">
        <v>76</v>
      </c>
    </row>
    <row r="3267" spans="1:9" x14ac:dyDescent="0.3">
      <c r="A3267">
        <v>6989</v>
      </c>
      <c r="B3267" t="s">
        <v>113</v>
      </c>
      <c r="C3267" t="s">
        <v>92</v>
      </c>
      <c r="D3267" t="s">
        <v>64</v>
      </c>
      <c r="E3267" t="s">
        <v>1979</v>
      </c>
      <c r="F3267" s="13">
        <v>3</v>
      </c>
      <c r="G3267" s="14">
        <v>8479.82</v>
      </c>
      <c r="H3267" s="13">
        <v>96</v>
      </c>
      <c r="I3267" t="s">
        <v>76</v>
      </c>
    </row>
    <row r="3268" spans="1:9" x14ac:dyDescent="0.3">
      <c r="A3268">
        <v>7215</v>
      </c>
      <c r="B3268" t="s">
        <v>559</v>
      </c>
      <c r="C3268" t="s">
        <v>121</v>
      </c>
      <c r="D3268" t="s">
        <v>67</v>
      </c>
      <c r="E3268" t="s">
        <v>1979</v>
      </c>
      <c r="F3268" s="13">
        <v>3</v>
      </c>
      <c r="G3268" s="14">
        <v>11415.4</v>
      </c>
      <c r="H3268" s="13">
        <v>96</v>
      </c>
      <c r="I3268" t="s">
        <v>76</v>
      </c>
    </row>
    <row r="3269" spans="1:9" x14ac:dyDescent="0.3">
      <c r="A3269">
        <v>7234</v>
      </c>
      <c r="B3269" t="s">
        <v>1986</v>
      </c>
      <c r="C3269" t="s">
        <v>103</v>
      </c>
      <c r="D3269" t="s">
        <v>67</v>
      </c>
      <c r="E3269" t="s">
        <v>1979</v>
      </c>
      <c r="F3269" s="13">
        <v>4</v>
      </c>
      <c r="G3269" s="14">
        <v>6654.35</v>
      </c>
      <c r="H3269" s="13">
        <v>96</v>
      </c>
      <c r="I3269" t="s">
        <v>76</v>
      </c>
    </row>
    <row r="3270" spans="1:9" x14ac:dyDescent="0.3">
      <c r="A3270">
        <v>7510</v>
      </c>
      <c r="B3270" t="s">
        <v>295</v>
      </c>
      <c r="C3270" t="s">
        <v>133</v>
      </c>
      <c r="D3270" t="s">
        <v>64</v>
      </c>
      <c r="E3270" t="s">
        <v>1979</v>
      </c>
      <c r="F3270" s="13">
        <v>3</v>
      </c>
      <c r="G3270" s="14">
        <v>4946.3999999999996</v>
      </c>
      <c r="H3270" s="13">
        <v>96</v>
      </c>
      <c r="I3270" t="s">
        <v>76</v>
      </c>
    </row>
    <row r="3271" spans="1:9" x14ac:dyDescent="0.3">
      <c r="A3271">
        <v>7831</v>
      </c>
      <c r="B3271" t="s">
        <v>388</v>
      </c>
      <c r="C3271" t="s">
        <v>92</v>
      </c>
      <c r="D3271" t="s">
        <v>64</v>
      </c>
      <c r="E3271" t="s">
        <v>1979</v>
      </c>
      <c r="F3271" s="13">
        <v>2</v>
      </c>
      <c r="G3271" s="14">
        <v>1590.52</v>
      </c>
      <c r="H3271" s="13">
        <v>96</v>
      </c>
      <c r="I3271" t="s">
        <v>76</v>
      </c>
    </row>
    <row r="3272" spans="1:9" x14ac:dyDescent="0.3">
      <c r="A3272">
        <v>8162</v>
      </c>
      <c r="B3272" t="s">
        <v>1987</v>
      </c>
      <c r="C3272" t="s">
        <v>133</v>
      </c>
      <c r="D3272" t="s">
        <v>64</v>
      </c>
      <c r="E3272" t="s">
        <v>1979</v>
      </c>
      <c r="F3272" s="13">
        <v>2</v>
      </c>
      <c r="G3272" s="14">
        <v>2766.3</v>
      </c>
      <c r="H3272" s="13">
        <v>96</v>
      </c>
      <c r="I3272" t="s">
        <v>76</v>
      </c>
    </row>
    <row r="3273" spans="1:9" x14ac:dyDescent="0.3">
      <c r="A3273">
        <v>8432</v>
      </c>
      <c r="B3273" t="s">
        <v>277</v>
      </c>
      <c r="C3273" t="s">
        <v>92</v>
      </c>
      <c r="D3273" t="s">
        <v>64</v>
      </c>
      <c r="E3273" t="s">
        <v>1979</v>
      </c>
      <c r="F3273" s="13">
        <v>2</v>
      </c>
      <c r="G3273" s="14">
        <v>4877.22</v>
      </c>
      <c r="H3273" s="13">
        <v>96</v>
      </c>
      <c r="I3273" t="s">
        <v>76</v>
      </c>
    </row>
    <row r="3274" spans="1:9" x14ac:dyDescent="0.3">
      <c r="A3274">
        <v>8475</v>
      </c>
      <c r="B3274" t="s">
        <v>149</v>
      </c>
      <c r="C3274" t="s">
        <v>123</v>
      </c>
      <c r="D3274" t="s">
        <v>65</v>
      </c>
      <c r="E3274" t="s">
        <v>1979</v>
      </c>
      <c r="F3274" s="13">
        <v>6</v>
      </c>
      <c r="G3274" s="14">
        <v>13263.28</v>
      </c>
      <c r="H3274" s="13">
        <v>96</v>
      </c>
      <c r="I3274" t="s">
        <v>76</v>
      </c>
    </row>
    <row r="3275" spans="1:9" x14ac:dyDescent="0.3">
      <c r="A3275">
        <v>8578</v>
      </c>
      <c r="B3275" t="s">
        <v>426</v>
      </c>
      <c r="C3275" t="s">
        <v>123</v>
      </c>
      <c r="D3275" t="s">
        <v>65</v>
      </c>
      <c r="E3275" t="s">
        <v>1979</v>
      </c>
      <c r="F3275" s="13">
        <v>5</v>
      </c>
      <c r="G3275" s="14">
        <v>3367.12</v>
      </c>
      <c r="H3275" s="13">
        <v>96</v>
      </c>
      <c r="I3275" t="s">
        <v>76</v>
      </c>
    </row>
    <row r="3276" spans="1:9" x14ac:dyDescent="0.3">
      <c r="A3276">
        <v>8658</v>
      </c>
      <c r="B3276" t="s">
        <v>1988</v>
      </c>
      <c r="C3276" t="s">
        <v>137</v>
      </c>
      <c r="D3276" t="s">
        <v>64</v>
      </c>
      <c r="E3276" t="s">
        <v>1979</v>
      </c>
      <c r="F3276" s="13">
        <v>2</v>
      </c>
      <c r="G3276" s="14">
        <v>3506.78</v>
      </c>
      <c r="H3276" s="13">
        <v>96</v>
      </c>
      <c r="I3276" t="s">
        <v>76</v>
      </c>
    </row>
    <row r="3277" spans="1:9" x14ac:dyDescent="0.3">
      <c r="A3277">
        <v>8740</v>
      </c>
      <c r="B3277" t="s">
        <v>507</v>
      </c>
      <c r="C3277" t="s">
        <v>97</v>
      </c>
      <c r="D3277" t="s">
        <v>65</v>
      </c>
      <c r="E3277" t="s">
        <v>1979</v>
      </c>
      <c r="F3277" s="13">
        <v>5</v>
      </c>
      <c r="G3277" s="14">
        <v>10452.280000000001</v>
      </c>
      <c r="H3277" s="13">
        <v>96</v>
      </c>
      <c r="I3277" t="s">
        <v>76</v>
      </c>
    </row>
    <row r="3278" spans="1:9" x14ac:dyDescent="0.3">
      <c r="A3278">
        <v>609</v>
      </c>
      <c r="B3278" t="s">
        <v>582</v>
      </c>
      <c r="C3278" t="s">
        <v>87</v>
      </c>
      <c r="D3278" t="s">
        <v>64</v>
      </c>
      <c r="E3278" t="s">
        <v>1989</v>
      </c>
      <c r="F3278" s="13">
        <v>4</v>
      </c>
      <c r="G3278" s="14">
        <v>17894.43</v>
      </c>
      <c r="H3278" s="13">
        <v>95</v>
      </c>
      <c r="I3278" t="s">
        <v>76</v>
      </c>
    </row>
    <row r="3279" spans="1:9" x14ac:dyDescent="0.3">
      <c r="A3279">
        <v>973</v>
      </c>
      <c r="B3279" t="s">
        <v>1990</v>
      </c>
      <c r="C3279" t="s">
        <v>137</v>
      </c>
      <c r="D3279" t="s">
        <v>64</v>
      </c>
      <c r="E3279" t="s">
        <v>1989</v>
      </c>
      <c r="F3279" s="13">
        <v>1</v>
      </c>
      <c r="G3279" s="14">
        <v>6255.05</v>
      </c>
      <c r="H3279" s="13">
        <v>95</v>
      </c>
      <c r="I3279" t="s">
        <v>76</v>
      </c>
    </row>
    <row r="3280" spans="1:9" x14ac:dyDescent="0.3">
      <c r="A3280">
        <v>1896</v>
      </c>
      <c r="B3280" t="s">
        <v>582</v>
      </c>
      <c r="C3280" t="s">
        <v>137</v>
      </c>
      <c r="D3280" t="s">
        <v>64</v>
      </c>
      <c r="E3280" t="s">
        <v>1989</v>
      </c>
      <c r="F3280" s="13">
        <v>1</v>
      </c>
      <c r="G3280" s="14">
        <v>598.79</v>
      </c>
      <c r="H3280" s="13">
        <v>95</v>
      </c>
      <c r="I3280" t="s">
        <v>76</v>
      </c>
    </row>
    <row r="3281" spans="1:9" x14ac:dyDescent="0.3">
      <c r="A3281">
        <v>3672</v>
      </c>
      <c r="B3281" t="s">
        <v>1991</v>
      </c>
      <c r="C3281" t="s">
        <v>137</v>
      </c>
      <c r="D3281" t="s">
        <v>64</v>
      </c>
      <c r="E3281" t="s">
        <v>1989</v>
      </c>
      <c r="F3281" s="13">
        <v>5</v>
      </c>
      <c r="G3281" s="14">
        <v>10608.2</v>
      </c>
      <c r="H3281" s="13">
        <v>95</v>
      </c>
      <c r="I3281" t="s">
        <v>76</v>
      </c>
    </row>
    <row r="3282" spans="1:9" x14ac:dyDescent="0.3">
      <c r="A3282">
        <v>3771</v>
      </c>
      <c r="B3282" t="s">
        <v>1992</v>
      </c>
      <c r="C3282" t="s">
        <v>92</v>
      </c>
      <c r="D3282" t="s">
        <v>64</v>
      </c>
      <c r="E3282" t="s">
        <v>1989</v>
      </c>
      <c r="F3282" s="13">
        <v>5</v>
      </c>
      <c r="G3282" s="14">
        <v>12986.75</v>
      </c>
      <c r="H3282" s="13">
        <v>95</v>
      </c>
      <c r="I3282" t="s">
        <v>76</v>
      </c>
    </row>
    <row r="3283" spans="1:9" x14ac:dyDescent="0.3">
      <c r="A3283">
        <v>4178</v>
      </c>
      <c r="B3283" t="s">
        <v>1556</v>
      </c>
      <c r="C3283" t="s">
        <v>156</v>
      </c>
      <c r="D3283" t="s">
        <v>68</v>
      </c>
      <c r="E3283" t="s">
        <v>1989</v>
      </c>
      <c r="F3283" s="13">
        <v>3</v>
      </c>
      <c r="G3283" s="14">
        <v>6204.7</v>
      </c>
      <c r="H3283" s="13">
        <v>95</v>
      </c>
      <c r="I3283" t="s">
        <v>76</v>
      </c>
    </row>
    <row r="3284" spans="1:9" x14ac:dyDescent="0.3">
      <c r="A3284">
        <v>4965</v>
      </c>
      <c r="B3284" t="s">
        <v>1993</v>
      </c>
      <c r="C3284" t="s">
        <v>133</v>
      </c>
      <c r="D3284" t="s">
        <v>64</v>
      </c>
      <c r="E3284" t="s">
        <v>1989</v>
      </c>
      <c r="F3284" s="13">
        <v>1</v>
      </c>
      <c r="G3284" s="14">
        <v>3703.47</v>
      </c>
      <c r="H3284" s="13">
        <v>95</v>
      </c>
      <c r="I3284" t="s">
        <v>76</v>
      </c>
    </row>
    <row r="3285" spans="1:9" x14ac:dyDescent="0.3">
      <c r="A3285">
        <v>5112</v>
      </c>
      <c r="B3285" t="s">
        <v>1994</v>
      </c>
      <c r="C3285" t="s">
        <v>90</v>
      </c>
      <c r="D3285" t="s">
        <v>66</v>
      </c>
      <c r="E3285" t="s">
        <v>1989</v>
      </c>
      <c r="F3285" s="13">
        <v>1</v>
      </c>
      <c r="G3285" s="14">
        <v>685.52</v>
      </c>
      <c r="H3285" s="13">
        <v>95</v>
      </c>
      <c r="I3285" t="s">
        <v>76</v>
      </c>
    </row>
    <row r="3286" spans="1:9" x14ac:dyDescent="0.3">
      <c r="A3286">
        <v>5366</v>
      </c>
      <c r="B3286" t="s">
        <v>153</v>
      </c>
      <c r="C3286" t="s">
        <v>92</v>
      </c>
      <c r="D3286" t="s">
        <v>64</v>
      </c>
      <c r="E3286" t="s">
        <v>1989</v>
      </c>
      <c r="F3286" s="13">
        <v>1</v>
      </c>
      <c r="G3286" s="14">
        <v>376.7</v>
      </c>
      <c r="H3286" s="13">
        <v>95</v>
      </c>
      <c r="I3286" t="s">
        <v>76</v>
      </c>
    </row>
    <row r="3287" spans="1:9" x14ac:dyDescent="0.3">
      <c r="A3287">
        <v>6083</v>
      </c>
      <c r="B3287" t="s">
        <v>1995</v>
      </c>
      <c r="C3287" t="s">
        <v>90</v>
      </c>
      <c r="D3287" t="s">
        <v>66</v>
      </c>
      <c r="E3287" t="s">
        <v>1989</v>
      </c>
      <c r="F3287" s="13">
        <v>2</v>
      </c>
      <c r="G3287" s="14">
        <v>560.5</v>
      </c>
      <c r="H3287" s="13">
        <v>95</v>
      </c>
      <c r="I3287" t="s">
        <v>76</v>
      </c>
    </row>
    <row r="3288" spans="1:9" x14ac:dyDescent="0.3">
      <c r="A3288">
        <v>6454</v>
      </c>
      <c r="B3288" t="s">
        <v>1634</v>
      </c>
      <c r="C3288" t="s">
        <v>137</v>
      </c>
      <c r="D3288" t="s">
        <v>64</v>
      </c>
      <c r="E3288" t="s">
        <v>1989</v>
      </c>
      <c r="F3288" s="13">
        <v>1</v>
      </c>
      <c r="G3288" s="14">
        <v>593.02</v>
      </c>
      <c r="H3288" s="13">
        <v>95</v>
      </c>
      <c r="I3288" t="s">
        <v>76</v>
      </c>
    </row>
    <row r="3289" spans="1:9" x14ac:dyDescent="0.3">
      <c r="A3289">
        <v>6609</v>
      </c>
      <c r="B3289" t="s">
        <v>449</v>
      </c>
      <c r="C3289" t="s">
        <v>133</v>
      </c>
      <c r="D3289" t="s">
        <v>64</v>
      </c>
      <c r="E3289" t="s">
        <v>1989</v>
      </c>
      <c r="F3289" s="13">
        <v>5</v>
      </c>
      <c r="G3289" s="14">
        <v>14598</v>
      </c>
      <c r="H3289" s="13">
        <v>95</v>
      </c>
      <c r="I3289" t="s">
        <v>76</v>
      </c>
    </row>
    <row r="3290" spans="1:9" x14ac:dyDescent="0.3">
      <c r="A3290">
        <v>7231</v>
      </c>
      <c r="B3290" t="s">
        <v>1996</v>
      </c>
      <c r="C3290" t="s">
        <v>97</v>
      </c>
      <c r="D3290" t="s">
        <v>65</v>
      </c>
      <c r="E3290" t="s">
        <v>1989</v>
      </c>
      <c r="F3290" s="13">
        <v>4</v>
      </c>
      <c r="G3290" s="14">
        <v>4483.4399999999996</v>
      </c>
      <c r="H3290" s="13">
        <v>95</v>
      </c>
      <c r="I3290" t="s">
        <v>76</v>
      </c>
    </row>
    <row r="3291" spans="1:9" x14ac:dyDescent="0.3">
      <c r="A3291">
        <v>7480</v>
      </c>
      <c r="B3291" t="s">
        <v>162</v>
      </c>
      <c r="C3291" t="s">
        <v>92</v>
      </c>
      <c r="D3291" t="s">
        <v>64</v>
      </c>
      <c r="E3291" t="s">
        <v>1989</v>
      </c>
      <c r="F3291" s="13">
        <v>2</v>
      </c>
      <c r="G3291" s="14">
        <v>3233.89</v>
      </c>
      <c r="H3291" s="13">
        <v>95</v>
      </c>
      <c r="I3291" t="s">
        <v>76</v>
      </c>
    </row>
    <row r="3292" spans="1:9" x14ac:dyDescent="0.3">
      <c r="A3292">
        <v>768</v>
      </c>
      <c r="B3292" t="s">
        <v>86</v>
      </c>
      <c r="C3292" t="s">
        <v>100</v>
      </c>
      <c r="D3292" t="s">
        <v>66</v>
      </c>
      <c r="E3292" t="s">
        <v>1997</v>
      </c>
      <c r="F3292" s="13">
        <v>3</v>
      </c>
      <c r="G3292" s="14">
        <v>7999.1</v>
      </c>
      <c r="H3292" s="13">
        <v>94</v>
      </c>
      <c r="I3292" t="s">
        <v>76</v>
      </c>
    </row>
    <row r="3293" spans="1:9" x14ac:dyDescent="0.3">
      <c r="A3293">
        <v>831</v>
      </c>
      <c r="B3293" t="s">
        <v>448</v>
      </c>
      <c r="C3293" t="s">
        <v>137</v>
      </c>
      <c r="D3293" t="s">
        <v>64</v>
      </c>
      <c r="E3293" t="s">
        <v>1997</v>
      </c>
      <c r="F3293" s="13">
        <v>1</v>
      </c>
      <c r="G3293" s="14">
        <v>5119.17</v>
      </c>
      <c r="H3293" s="13">
        <v>94</v>
      </c>
      <c r="I3293" t="s">
        <v>76</v>
      </c>
    </row>
    <row r="3294" spans="1:9" x14ac:dyDescent="0.3">
      <c r="A3294">
        <v>1292</v>
      </c>
      <c r="B3294" t="s">
        <v>782</v>
      </c>
      <c r="C3294" t="s">
        <v>123</v>
      </c>
      <c r="D3294" t="s">
        <v>65</v>
      </c>
      <c r="E3294" t="s">
        <v>1997</v>
      </c>
      <c r="F3294" s="13">
        <v>10</v>
      </c>
      <c r="G3294" s="14">
        <v>23652.720000000001</v>
      </c>
      <c r="H3294" s="13">
        <v>94</v>
      </c>
      <c r="I3294" t="s">
        <v>76</v>
      </c>
    </row>
    <row r="3295" spans="1:9" x14ac:dyDescent="0.3">
      <c r="A3295">
        <v>1503</v>
      </c>
      <c r="B3295" t="s">
        <v>240</v>
      </c>
      <c r="C3295" t="s">
        <v>103</v>
      </c>
      <c r="D3295" t="s">
        <v>67</v>
      </c>
      <c r="E3295" t="s">
        <v>1997</v>
      </c>
      <c r="F3295" s="13">
        <v>1</v>
      </c>
      <c r="G3295" s="14">
        <v>3410.92</v>
      </c>
      <c r="H3295" s="13">
        <v>94</v>
      </c>
      <c r="I3295" t="s">
        <v>76</v>
      </c>
    </row>
    <row r="3296" spans="1:9" x14ac:dyDescent="0.3">
      <c r="A3296">
        <v>1662</v>
      </c>
      <c r="B3296" t="s">
        <v>382</v>
      </c>
      <c r="C3296" t="s">
        <v>100</v>
      </c>
      <c r="D3296" t="s">
        <v>66</v>
      </c>
      <c r="E3296" t="s">
        <v>1997</v>
      </c>
      <c r="F3296" s="13">
        <v>2</v>
      </c>
      <c r="G3296" s="14">
        <v>3309.59</v>
      </c>
      <c r="H3296" s="13">
        <v>94</v>
      </c>
      <c r="I3296" t="s">
        <v>76</v>
      </c>
    </row>
    <row r="3297" spans="1:9" x14ac:dyDescent="0.3">
      <c r="A3297">
        <v>1732</v>
      </c>
      <c r="B3297" t="s">
        <v>628</v>
      </c>
      <c r="C3297" t="s">
        <v>92</v>
      </c>
      <c r="D3297" t="s">
        <v>64</v>
      </c>
      <c r="E3297" t="s">
        <v>1997</v>
      </c>
      <c r="F3297" s="13">
        <v>4</v>
      </c>
      <c r="G3297" s="14">
        <v>950.15</v>
      </c>
      <c r="H3297" s="13">
        <v>94</v>
      </c>
      <c r="I3297" t="s">
        <v>76</v>
      </c>
    </row>
    <row r="3298" spans="1:9" x14ac:dyDescent="0.3">
      <c r="A3298">
        <v>2078</v>
      </c>
      <c r="B3298" t="s">
        <v>667</v>
      </c>
      <c r="C3298" t="s">
        <v>95</v>
      </c>
      <c r="D3298" t="s">
        <v>65</v>
      </c>
      <c r="E3298" t="s">
        <v>1997</v>
      </c>
      <c r="F3298" s="13">
        <v>4</v>
      </c>
      <c r="G3298" s="14">
        <v>8549.66</v>
      </c>
      <c r="H3298" s="13">
        <v>94</v>
      </c>
      <c r="I3298" t="s">
        <v>76</v>
      </c>
    </row>
    <row r="3299" spans="1:9" x14ac:dyDescent="0.3">
      <c r="A3299">
        <v>2489</v>
      </c>
      <c r="B3299" t="s">
        <v>460</v>
      </c>
      <c r="C3299" t="s">
        <v>92</v>
      </c>
      <c r="D3299" t="s">
        <v>64</v>
      </c>
      <c r="E3299" t="s">
        <v>1997</v>
      </c>
      <c r="F3299" s="13">
        <v>2</v>
      </c>
      <c r="G3299" s="14">
        <v>3973.87</v>
      </c>
      <c r="H3299" s="13">
        <v>94</v>
      </c>
      <c r="I3299" t="s">
        <v>76</v>
      </c>
    </row>
    <row r="3300" spans="1:9" x14ac:dyDescent="0.3">
      <c r="A3300">
        <v>3248</v>
      </c>
      <c r="B3300" t="s">
        <v>527</v>
      </c>
      <c r="C3300" t="s">
        <v>92</v>
      </c>
      <c r="D3300" t="s">
        <v>64</v>
      </c>
      <c r="E3300" t="s">
        <v>1997</v>
      </c>
      <c r="F3300" s="13">
        <v>5</v>
      </c>
      <c r="G3300" s="14">
        <v>3654.07</v>
      </c>
      <c r="H3300" s="13">
        <v>94</v>
      </c>
      <c r="I3300" t="s">
        <v>76</v>
      </c>
    </row>
    <row r="3301" spans="1:9" x14ac:dyDescent="0.3">
      <c r="A3301">
        <v>3323</v>
      </c>
      <c r="B3301" t="s">
        <v>240</v>
      </c>
      <c r="C3301" t="s">
        <v>249</v>
      </c>
      <c r="D3301" t="s">
        <v>67</v>
      </c>
      <c r="E3301" t="s">
        <v>1997</v>
      </c>
      <c r="F3301" s="13">
        <v>2</v>
      </c>
      <c r="G3301" s="14">
        <v>3559.75</v>
      </c>
      <c r="H3301" s="13">
        <v>94</v>
      </c>
      <c r="I3301" t="s">
        <v>76</v>
      </c>
    </row>
    <row r="3302" spans="1:9" x14ac:dyDescent="0.3">
      <c r="A3302">
        <v>3939</v>
      </c>
      <c r="B3302" t="s">
        <v>348</v>
      </c>
      <c r="C3302" t="s">
        <v>103</v>
      </c>
      <c r="D3302" t="s">
        <v>67</v>
      </c>
      <c r="E3302" t="s">
        <v>1997</v>
      </c>
      <c r="F3302" s="13">
        <v>1</v>
      </c>
      <c r="G3302" s="14">
        <v>1353.19</v>
      </c>
      <c r="H3302" s="13">
        <v>94</v>
      </c>
      <c r="I3302" t="s">
        <v>76</v>
      </c>
    </row>
    <row r="3303" spans="1:9" x14ac:dyDescent="0.3">
      <c r="A3303">
        <v>4018</v>
      </c>
      <c r="B3303" t="s">
        <v>1998</v>
      </c>
      <c r="C3303" t="s">
        <v>100</v>
      </c>
      <c r="D3303" t="s">
        <v>66</v>
      </c>
      <c r="E3303" t="s">
        <v>1997</v>
      </c>
      <c r="F3303" s="13">
        <v>1</v>
      </c>
      <c r="G3303" s="14">
        <v>3040.94</v>
      </c>
      <c r="H3303" s="13">
        <v>94</v>
      </c>
      <c r="I3303" t="s">
        <v>76</v>
      </c>
    </row>
    <row r="3304" spans="1:9" x14ac:dyDescent="0.3">
      <c r="A3304">
        <v>5279</v>
      </c>
      <c r="B3304" t="s">
        <v>1999</v>
      </c>
      <c r="C3304" t="s">
        <v>137</v>
      </c>
      <c r="D3304" t="s">
        <v>64</v>
      </c>
      <c r="E3304" t="s">
        <v>1997</v>
      </c>
      <c r="F3304" s="13">
        <v>4</v>
      </c>
      <c r="G3304" s="14">
        <v>4068.58</v>
      </c>
      <c r="H3304" s="13">
        <v>94</v>
      </c>
      <c r="I3304" t="s">
        <v>76</v>
      </c>
    </row>
    <row r="3305" spans="1:9" x14ac:dyDescent="0.3">
      <c r="A3305">
        <v>5655</v>
      </c>
      <c r="B3305" t="s">
        <v>2000</v>
      </c>
      <c r="C3305" t="s">
        <v>133</v>
      </c>
      <c r="D3305" t="s">
        <v>64</v>
      </c>
      <c r="E3305" t="s">
        <v>1997</v>
      </c>
      <c r="F3305" s="13">
        <v>4</v>
      </c>
      <c r="G3305" s="14">
        <v>5909.11</v>
      </c>
      <c r="H3305" s="13">
        <v>94</v>
      </c>
      <c r="I3305" t="s">
        <v>76</v>
      </c>
    </row>
    <row r="3306" spans="1:9" x14ac:dyDescent="0.3">
      <c r="A3306">
        <v>5804</v>
      </c>
      <c r="B3306" t="s">
        <v>333</v>
      </c>
      <c r="C3306" t="s">
        <v>92</v>
      </c>
      <c r="D3306" t="s">
        <v>64</v>
      </c>
      <c r="E3306" t="s">
        <v>1997</v>
      </c>
      <c r="F3306" s="13">
        <v>2</v>
      </c>
      <c r="G3306" s="14">
        <v>3774.65</v>
      </c>
      <c r="H3306" s="13">
        <v>94</v>
      </c>
      <c r="I3306" t="s">
        <v>76</v>
      </c>
    </row>
    <row r="3307" spans="1:9" x14ac:dyDescent="0.3">
      <c r="A3307">
        <v>5824</v>
      </c>
      <c r="B3307" t="s">
        <v>400</v>
      </c>
      <c r="C3307" t="s">
        <v>103</v>
      </c>
      <c r="D3307" t="s">
        <v>67</v>
      </c>
      <c r="E3307" t="s">
        <v>1997</v>
      </c>
      <c r="F3307" s="13">
        <v>2</v>
      </c>
      <c r="G3307" s="14">
        <v>3952.59</v>
      </c>
      <c r="H3307" s="13">
        <v>94</v>
      </c>
      <c r="I3307" t="s">
        <v>76</v>
      </c>
    </row>
    <row r="3308" spans="1:9" x14ac:dyDescent="0.3">
      <c r="A3308">
        <v>6198</v>
      </c>
      <c r="B3308" t="s">
        <v>414</v>
      </c>
      <c r="C3308" t="s">
        <v>95</v>
      </c>
      <c r="D3308" t="s">
        <v>65</v>
      </c>
      <c r="E3308" t="s">
        <v>1997</v>
      </c>
      <c r="F3308" s="13">
        <v>2</v>
      </c>
      <c r="G3308" s="14">
        <v>681.22</v>
      </c>
      <c r="H3308" s="13">
        <v>94</v>
      </c>
      <c r="I3308" t="s">
        <v>76</v>
      </c>
    </row>
    <row r="3309" spans="1:9" x14ac:dyDescent="0.3">
      <c r="A3309">
        <v>7172</v>
      </c>
      <c r="B3309" t="s">
        <v>253</v>
      </c>
      <c r="C3309" t="s">
        <v>92</v>
      </c>
      <c r="D3309" t="s">
        <v>64</v>
      </c>
      <c r="E3309" t="s">
        <v>1997</v>
      </c>
      <c r="F3309" s="13">
        <v>1</v>
      </c>
      <c r="G3309" s="14">
        <v>328.43</v>
      </c>
      <c r="H3309" s="13">
        <v>94</v>
      </c>
      <c r="I3309" t="s">
        <v>76</v>
      </c>
    </row>
    <row r="3310" spans="1:9" x14ac:dyDescent="0.3">
      <c r="A3310">
        <v>7725</v>
      </c>
      <c r="B3310" t="s">
        <v>2001</v>
      </c>
      <c r="C3310" t="s">
        <v>100</v>
      </c>
      <c r="D3310" t="s">
        <v>66</v>
      </c>
      <c r="E3310" t="s">
        <v>1997</v>
      </c>
      <c r="F3310" s="13">
        <v>3</v>
      </c>
      <c r="G3310" s="14">
        <v>7255.69</v>
      </c>
      <c r="H3310" s="13">
        <v>94</v>
      </c>
      <c r="I3310" t="s">
        <v>76</v>
      </c>
    </row>
    <row r="3311" spans="1:9" x14ac:dyDescent="0.3">
      <c r="A3311">
        <v>8117</v>
      </c>
      <c r="B3311" t="s">
        <v>2002</v>
      </c>
      <c r="C3311" t="s">
        <v>133</v>
      </c>
      <c r="D3311" t="s">
        <v>64</v>
      </c>
      <c r="E3311" t="s">
        <v>1997</v>
      </c>
      <c r="F3311" s="13">
        <v>1</v>
      </c>
      <c r="G3311" s="14">
        <v>586.17999999999995</v>
      </c>
      <c r="H3311" s="13">
        <v>94</v>
      </c>
      <c r="I3311" t="s">
        <v>76</v>
      </c>
    </row>
    <row r="3312" spans="1:9" x14ac:dyDescent="0.3">
      <c r="A3312">
        <v>8953</v>
      </c>
      <c r="B3312" t="s">
        <v>138</v>
      </c>
      <c r="C3312" t="s">
        <v>92</v>
      </c>
      <c r="D3312" t="s">
        <v>64</v>
      </c>
      <c r="E3312" t="s">
        <v>1997</v>
      </c>
      <c r="F3312" s="13">
        <v>2</v>
      </c>
      <c r="G3312" s="14">
        <v>10269.02</v>
      </c>
      <c r="H3312" s="13">
        <v>94</v>
      </c>
      <c r="I3312" t="s">
        <v>76</v>
      </c>
    </row>
    <row r="3313" spans="1:9" x14ac:dyDescent="0.3">
      <c r="A3313">
        <v>409</v>
      </c>
      <c r="B3313" t="s">
        <v>195</v>
      </c>
      <c r="C3313" t="s">
        <v>87</v>
      </c>
      <c r="D3313" t="s">
        <v>64</v>
      </c>
      <c r="E3313" t="s">
        <v>2003</v>
      </c>
      <c r="F3313" s="13">
        <v>1</v>
      </c>
      <c r="G3313" s="14">
        <v>159.36000000000001</v>
      </c>
      <c r="H3313" s="13">
        <v>93</v>
      </c>
      <c r="I3313" t="s">
        <v>76</v>
      </c>
    </row>
    <row r="3314" spans="1:9" x14ac:dyDescent="0.3">
      <c r="A3314">
        <v>492</v>
      </c>
      <c r="B3314" t="s">
        <v>2004</v>
      </c>
      <c r="C3314" t="s">
        <v>95</v>
      </c>
      <c r="D3314" t="s">
        <v>65</v>
      </c>
      <c r="E3314" t="s">
        <v>2003</v>
      </c>
      <c r="F3314" s="13">
        <v>3</v>
      </c>
      <c r="G3314" s="14">
        <v>7863.04</v>
      </c>
      <c r="H3314" s="13">
        <v>93</v>
      </c>
      <c r="I3314" t="s">
        <v>76</v>
      </c>
    </row>
    <row r="3315" spans="1:9" x14ac:dyDescent="0.3">
      <c r="A3315">
        <v>650</v>
      </c>
      <c r="B3315" t="s">
        <v>645</v>
      </c>
      <c r="C3315" t="s">
        <v>114</v>
      </c>
      <c r="D3315" t="s">
        <v>66</v>
      </c>
      <c r="E3315" t="s">
        <v>2003</v>
      </c>
      <c r="F3315" s="13">
        <v>1</v>
      </c>
      <c r="G3315" s="14">
        <v>2766.76</v>
      </c>
      <c r="H3315" s="13">
        <v>93</v>
      </c>
      <c r="I3315" t="s">
        <v>76</v>
      </c>
    </row>
    <row r="3316" spans="1:9" x14ac:dyDescent="0.3">
      <c r="A3316">
        <v>2438</v>
      </c>
      <c r="B3316" t="s">
        <v>202</v>
      </c>
      <c r="C3316" t="s">
        <v>137</v>
      </c>
      <c r="D3316" t="s">
        <v>64</v>
      </c>
      <c r="E3316" t="s">
        <v>2003</v>
      </c>
      <c r="F3316" s="13">
        <v>2</v>
      </c>
      <c r="G3316" s="14">
        <v>1526.15</v>
      </c>
      <c r="H3316" s="13">
        <v>93</v>
      </c>
      <c r="I3316" t="s">
        <v>76</v>
      </c>
    </row>
    <row r="3317" spans="1:9" x14ac:dyDescent="0.3">
      <c r="A3317">
        <v>2601</v>
      </c>
      <c r="B3317" t="s">
        <v>606</v>
      </c>
      <c r="C3317" t="s">
        <v>92</v>
      </c>
      <c r="D3317" t="s">
        <v>64</v>
      </c>
      <c r="E3317" t="s">
        <v>2003</v>
      </c>
      <c r="F3317" s="13">
        <v>6</v>
      </c>
      <c r="G3317" s="14">
        <v>13956.15</v>
      </c>
      <c r="H3317" s="13">
        <v>93</v>
      </c>
      <c r="I3317" t="s">
        <v>76</v>
      </c>
    </row>
    <row r="3318" spans="1:9" x14ac:dyDescent="0.3">
      <c r="A3318">
        <v>2733</v>
      </c>
      <c r="B3318" t="s">
        <v>2005</v>
      </c>
      <c r="C3318" t="s">
        <v>90</v>
      </c>
      <c r="D3318" t="s">
        <v>66</v>
      </c>
      <c r="E3318" t="s">
        <v>2003</v>
      </c>
      <c r="F3318" s="13">
        <v>1</v>
      </c>
      <c r="G3318" s="14">
        <v>2198.98</v>
      </c>
      <c r="H3318" s="13">
        <v>93</v>
      </c>
      <c r="I3318" t="s">
        <v>76</v>
      </c>
    </row>
    <row r="3319" spans="1:9" x14ac:dyDescent="0.3">
      <c r="A3319">
        <v>4535</v>
      </c>
      <c r="B3319" t="s">
        <v>668</v>
      </c>
      <c r="C3319" t="s">
        <v>90</v>
      </c>
      <c r="D3319" t="s">
        <v>66</v>
      </c>
      <c r="E3319" t="s">
        <v>2003</v>
      </c>
      <c r="F3319" s="13">
        <v>2</v>
      </c>
      <c r="G3319" s="14">
        <v>2599.86</v>
      </c>
      <c r="H3319" s="13">
        <v>93</v>
      </c>
      <c r="I3319" t="s">
        <v>76</v>
      </c>
    </row>
    <row r="3320" spans="1:9" x14ac:dyDescent="0.3">
      <c r="A3320">
        <v>4561</v>
      </c>
      <c r="B3320" t="s">
        <v>2006</v>
      </c>
      <c r="C3320" t="s">
        <v>92</v>
      </c>
      <c r="D3320" t="s">
        <v>64</v>
      </c>
      <c r="E3320" t="s">
        <v>2003</v>
      </c>
      <c r="F3320" s="13">
        <v>6</v>
      </c>
      <c r="G3320" s="14">
        <v>9158.7800000000007</v>
      </c>
      <c r="H3320" s="13">
        <v>93</v>
      </c>
      <c r="I3320" t="s">
        <v>76</v>
      </c>
    </row>
    <row r="3321" spans="1:9" x14ac:dyDescent="0.3">
      <c r="A3321">
        <v>4574</v>
      </c>
      <c r="B3321" t="s">
        <v>756</v>
      </c>
      <c r="C3321" t="s">
        <v>92</v>
      </c>
      <c r="D3321" t="s">
        <v>64</v>
      </c>
      <c r="E3321" t="s">
        <v>2003</v>
      </c>
      <c r="F3321" s="13">
        <v>6</v>
      </c>
      <c r="G3321" s="14">
        <v>8275.76</v>
      </c>
      <c r="H3321" s="13">
        <v>93</v>
      </c>
      <c r="I3321" t="s">
        <v>76</v>
      </c>
    </row>
    <row r="3322" spans="1:9" x14ac:dyDescent="0.3">
      <c r="A3322">
        <v>5427</v>
      </c>
      <c r="B3322" t="s">
        <v>191</v>
      </c>
      <c r="C3322" t="s">
        <v>114</v>
      </c>
      <c r="D3322" t="s">
        <v>66</v>
      </c>
      <c r="E3322" t="s">
        <v>2003</v>
      </c>
      <c r="F3322" s="13">
        <v>1</v>
      </c>
      <c r="G3322" s="14">
        <v>268.85000000000002</v>
      </c>
      <c r="H3322" s="13">
        <v>93</v>
      </c>
      <c r="I3322" t="s">
        <v>76</v>
      </c>
    </row>
    <row r="3323" spans="1:9" x14ac:dyDescent="0.3">
      <c r="A3323">
        <v>5520</v>
      </c>
      <c r="B3323" t="s">
        <v>253</v>
      </c>
      <c r="C3323" t="s">
        <v>95</v>
      </c>
      <c r="D3323" t="s">
        <v>65</v>
      </c>
      <c r="E3323" t="s">
        <v>2003</v>
      </c>
      <c r="F3323" s="13">
        <v>6</v>
      </c>
      <c r="G3323" s="14">
        <v>9753.34</v>
      </c>
      <c r="H3323" s="13">
        <v>93</v>
      </c>
      <c r="I3323" t="s">
        <v>76</v>
      </c>
    </row>
    <row r="3324" spans="1:9" x14ac:dyDescent="0.3">
      <c r="A3324">
        <v>5790</v>
      </c>
      <c r="B3324" t="s">
        <v>2007</v>
      </c>
      <c r="C3324" t="s">
        <v>97</v>
      </c>
      <c r="D3324" t="s">
        <v>65</v>
      </c>
      <c r="E3324" t="s">
        <v>2003</v>
      </c>
      <c r="F3324" s="13">
        <v>3</v>
      </c>
      <c r="G3324" s="14">
        <v>6841.78</v>
      </c>
      <c r="H3324" s="13">
        <v>93</v>
      </c>
      <c r="I3324" t="s">
        <v>76</v>
      </c>
    </row>
    <row r="3325" spans="1:9" x14ac:dyDescent="0.3">
      <c r="A3325">
        <v>5892</v>
      </c>
      <c r="B3325" t="s">
        <v>596</v>
      </c>
      <c r="C3325" t="s">
        <v>92</v>
      </c>
      <c r="D3325" t="s">
        <v>64</v>
      </c>
      <c r="E3325" t="s">
        <v>2003</v>
      </c>
      <c r="F3325" s="13">
        <v>3</v>
      </c>
      <c r="G3325" s="14">
        <v>6000.85</v>
      </c>
      <c r="H3325" s="13">
        <v>93</v>
      </c>
      <c r="I3325" t="s">
        <v>76</v>
      </c>
    </row>
    <row r="3326" spans="1:9" x14ac:dyDescent="0.3">
      <c r="A3326">
        <v>6027</v>
      </c>
      <c r="B3326" t="s">
        <v>182</v>
      </c>
      <c r="C3326" t="s">
        <v>90</v>
      </c>
      <c r="D3326" t="s">
        <v>66</v>
      </c>
      <c r="E3326" t="s">
        <v>2003</v>
      </c>
      <c r="F3326" s="13">
        <v>2</v>
      </c>
      <c r="G3326" s="14">
        <v>5489.72</v>
      </c>
      <c r="H3326" s="13">
        <v>93</v>
      </c>
      <c r="I3326" t="s">
        <v>76</v>
      </c>
    </row>
    <row r="3327" spans="1:9" x14ac:dyDescent="0.3">
      <c r="A3327">
        <v>6168</v>
      </c>
      <c r="B3327" t="s">
        <v>2008</v>
      </c>
      <c r="C3327" t="s">
        <v>97</v>
      </c>
      <c r="D3327" t="s">
        <v>65</v>
      </c>
      <c r="E3327" t="s">
        <v>2003</v>
      </c>
      <c r="F3327" s="13">
        <v>1</v>
      </c>
      <c r="G3327" s="14">
        <v>3209.64</v>
      </c>
      <c r="H3327" s="13">
        <v>93</v>
      </c>
      <c r="I3327" t="s">
        <v>76</v>
      </c>
    </row>
    <row r="3328" spans="1:9" x14ac:dyDescent="0.3">
      <c r="A3328">
        <v>6597</v>
      </c>
      <c r="B3328" t="s">
        <v>466</v>
      </c>
      <c r="C3328" t="s">
        <v>90</v>
      </c>
      <c r="D3328" t="s">
        <v>66</v>
      </c>
      <c r="E3328" t="s">
        <v>2003</v>
      </c>
      <c r="F3328" s="13">
        <v>3</v>
      </c>
      <c r="G3328" s="14">
        <v>8207.92</v>
      </c>
      <c r="H3328" s="13">
        <v>93</v>
      </c>
      <c r="I3328" t="s">
        <v>76</v>
      </c>
    </row>
    <row r="3329" spans="1:9" x14ac:dyDescent="0.3">
      <c r="A3329">
        <v>6734</v>
      </c>
      <c r="B3329" t="s">
        <v>846</v>
      </c>
      <c r="C3329" t="s">
        <v>92</v>
      </c>
      <c r="D3329" t="s">
        <v>64</v>
      </c>
      <c r="E3329" t="s">
        <v>2003</v>
      </c>
      <c r="F3329" s="13">
        <v>8</v>
      </c>
      <c r="G3329" s="14">
        <v>22371.5</v>
      </c>
      <c r="H3329" s="13">
        <v>93</v>
      </c>
      <c r="I3329" t="s">
        <v>76</v>
      </c>
    </row>
    <row r="3330" spans="1:9" x14ac:dyDescent="0.3">
      <c r="A3330">
        <v>7478</v>
      </c>
      <c r="B3330" t="s">
        <v>2009</v>
      </c>
      <c r="C3330" t="s">
        <v>123</v>
      </c>
      <c r="D3330" t="s">
        <v>65</v>
      </c>
      <c r="E3330" t="s">
        <v>2003</v>
      </c>
      <c r="F3330" s="13">
        <v>3</v>
      </c>
      <c r="G3330" s="14">
        <v>4610.13</v>
      </c>
      <c r="H3330" s="13">
        <v>93</v>
      </c>
      <c r="I3330" t="s">
        <v>76</v>
      </c>
    </row>
    <row r="3331" spans="1:9" x14ac:dyDescent="0.3">
      <c r="A3331">
        <v>7497</v>
      </c>
      <c r="B3331" t="s">
        <v>638</v>
      </c>
      <c r="C3331" t="s">
        <v>114</v>
      </c>
      <c r="D3331" t="s">
        <v>66</v>
      </c>
      <c r="E3331" t="s">
        <v>2003</v>
      </c>
      <c r="F3331" s="13">
        <v>7</v>
      </c>
      <c r="G3331" s="14">
        <v>7994.19</v>
      </c>
      <c r="H3331" s="13">
        <v>93</v>
      </c>
      <c r="I3331" t="s">
        <v>76</v>
      </c>
    </row>
    <row r="3332" spans="1:9" x14ac:dyDescent="0.3">
      <c r="A3332">
        <v>7963</v>
      </c>
      <c r="B3332" t="s">
        <v>870</v>
      </c>
      <c r="C3332" t="s">
        <v>137</v>
      </c>
      <c r="D3332" t="s">
        <v>64</v>
      </c>
      <c r="E3332" t="s">
        <v>2003</v>
      </c>
      <c r="F3332" s="13">
        <v>5</v>
      </c>
      <c r="G3332" s="14">
        <v>7476.24</v>
      </c>
      <c r="H3332" s="13">
        <v>93</v>
      </c>
      <c r="I3332" t="s">
        <v>76</v>
      </c>
    </row>
    <row r="3333" spans="1:9" x14ac:dyDescent="0.3">
      <c r="A3333">
        <v>8156</v>
      </c>
      <c r="B3333" t="s">
        <v>2010</v>
      </c>
      <c r="C3333" t="s">
        <v>249</v>
      </c>
      <c r="D3333" t="s">
        <v>67</v>
      </c>
      <c r="E3333" t="s">
        <v>2003</v>
      </c>
      <c r="F3333" s="13">
        <v>7</v>
      </c>
      <c r="G3333" s="14">
        <v>6444.08</v>
      </c>
      <c r="H3333" s="13">
        <v>93</v>
      </c>
      <c r="I3333" t="s">
        <v>76</v>
      </c>
    </row>
    <row r="3334" spans="1:9" x14ac:dyDescent="0.3">
      <c r="A3334">
        <v>8439</v>
      </c>
      <c r="B3334" t="s">
        <v>2011</v>
      </c>
      <c r="C3334" t="s">
        <v>249</v>
      </c>
      <c r="D3334" t="s">
        <v>67</v>
      </c>
      <c r="E3334" t="s">
        <v>2003</v>
      </c>
      <c r="F3334" s="13">
        <v>1</v>
      </c>
      <c r="G3334" s="14">
        <v>4784.3100000000004</v>
      </c>
      <c r="H3334" s="13">
        <v>93</v>
      </c>
      <c r="I3334" t="s">
        <v>76</v>
      </c>
    </row>
    <row r="3335" spans="1:9" x14ac:dyDescent="0.3">
      <c r="A3335">
        <v>8693</v>
      </c>
      <c r="B3335" t="s">
        <v>1895</v>
      </c>
      <c r="C3335" t="s">
        <v>137</v>
      </c>
      <c r="D3335" t="s">
        <v>64</v>
      </c>
      <c r="E3335" t="s">
        <v>2003</v>
      </c>
      <c r="F3335" s="13">
        <v>3</v>
      </c>
      <c r="G3335" s="14">
        <v>3320.76</v>
      </c>
      <c r="H3335" s="13">
        <v>93</v>
      </c>
      <c r="I3335" t="s">
        <v>76</v>
      </c>
    </row>
    <row r="3336" spans="1:9" x14ac:dyDescent="0.3">
      <c r="A3336">
        <v>21</v>
      </c>
      <c r="B3336" t="s">
        <v>2012</v>
      </c>
      <c r="C3336" t="s">
        <v>92</v>
      </c>
      <c r="D3336" t="s">
        <v>64</v>
      </c>
      <c r="E3336" t="s">
        <v>2013</v>
      </c>
      <c r="F3336" s="13">
        <v>5</v>
      </c>
      <c r="G3336" s="14">
        <v>24783.42</v>
      </c>
      <c r="H3336" s="13">
        <v>92</v>
      </c>
      <c r="I3336" t="s">
        <v>76</v>
      </c>
    </row>
    <row r="3337" spans="1:9" x14ac:dyDescent="0.3">
      <c r="A3337">
        <v>695</v>
      </c>
      <c r="B3337" t="s">
        <v>237</v>
      </c>
      <c r="C3337" t="s">
        <v>92</v>
      </c>
      <c r="D3337" t="s">
        <v>64</v>
      </c>
      <c r="E3337" t="s">
        <v>2013</v>
      </c>
      <c r="F3337" s="13">
        <v>1</v>
      </c>
      <c r="G3337" s="14">
        <v>5441.95</v>
      </c>
      <c r="H3337" s="13">
        <v>92</v>
      </c>
      <c r="I3337" t="s">
        <v>76</v>
      </c>
    </row>
    <row r="3338" spans="1:9" x14ac:dyDescent="0.3">
      <c r="A3338">
        <v>1328</v>
      </c>
      <c r="B3338" t="s">
        <v>2014</v>
      </c>
      <c r="C3338" t="s">
        <v>92</v>
      </c>
      <c r="D3338" t="s">
        <v>64</v>
      </c>
      <c r="E3338" t="s">
        <v>2013</v>
      </c>
      <c r="F3338" s="13">
        <v>2</v>
      </c>
      <c r="G3338" s="14">
        <v>5086.59</v>
      </c>
      <c r="H3338" s="13">
        <v>92</v>
      </c>
      <c r="I3338" t="s">
        <v>76</v>
      </c>
    </row>
    <row r="3339" spans="1:9" x14ac:dyDescent="0.3">
      <c r="A3339">
        <v>1579</v>
      </c>
      <c r="B3339" t="s">
        <v>149</v>
      </c>
      <c r="C3339" t="s">
        <v>87</v>
      </c>
      <c r="D3339" t="s">
        <v>64</v>
      </c>
      <c r="E3339" t="s">
        <v>2013</v>
      </c>
      <c r="F3339" s="13">
        <v>1</v>
      </c>
      <c r="G3339" s="14">
        <v>5414.65</v>
      </c>
      <c r="H3339" s="13">
        <v>92</v>
      </c>
      <c r="I3339" t="s">
        <v>76</v>
      </c>
    </row>
    <row r="3340" spans="1:9" x14ac:dyDescent="0.3">
      <c r="A3340">
        <v>2021</v>
      </c>
      <c r="B3340" t="s">
        <v>435</v>
      </c>
      <c r="C3340" t="s">
        <v>92</v>
      </c>
      <c r="D3340" t="s">
        <v>64</v>
      </c>
      <c r="E3340" t="s">
        <v>2013</v>
      </c>
      <c r="F3340" s="13">
        <v>3</v>
      </c>
      <c r="G3340" s="14">
        <v>4053.28</v>
      </c>
      <c r="H3340" s="13">
        <v>92</v>
      </c>
      <c r="I3340" t="s">
        <v>76</v>
      </c>
    </row>
    <row r="3341" spans="1:9" x14ac:dyDescent="0.3">
      <c r="A3341">
        <v>2326</v>
      </c>
      <c r="B3341" t="s">
        <v>346</v>
      </c>
      <c r="C3341" t="s">
        <v>87</v>
      </c>
      <c r="D3341" t="s">
        <v>64</v>
      </c>
      <c r="E3341" t="s">
        <v>2013</v>
      </c>
      <c r="F3341" s="13">
        <v>4</v>
      </c>
      <c r="G3341" s="14">
        <v>7801.64</v>
      </c>
      <c r="H3341" s="13">
        <v>92</v>
      </c>
      <c r="I3341" t="s">
        <v>76</v>
      </c>
    </row>
    <row r="3342" spans="1:9" x14ac:dyDescent="0.3">
      <c r="A3342">
        <v>2437</v>
      </c>
      <c r="B3342" t="s">
        <v>527</v>
      </c>
      <c r="C3342" t="s">
        <v>137</v>
      </c>
      <c r="D3342" t="s">
        <v>64</v>
      </c>
      <c r="E3342" t="s">
        <v>2013</v>
      </c>
      <c r="F3342" s="13">
        <v>3</v>
      </c>
      <c r="G3342" s="14">
        <v>6676.9</v>
      </c>
      <c r="H3342" s="13">
        <v>92</v>
      </c>
      <c r="I3342" t="s">
        <v>76</v>
      </c>
    </row>
    <row r="3343" spans="1:9" x14ac:dyDescent="0.3">
      <c r="A3343">
        <v>3299</v>
      </c>
      <c r="B3343" t="s">
        <v>2015</v>
      </c>
      <c r="C3343" t="s">
        <v>92</v>
      </c>
      <c r="D3343" t="s">
        <v>64</v>
      </c>
      <c r="E3343" t="s">
        <v>2013</v>
      </c>
      <c r="F3343" s="13">
        <v>7</v>
      </c>
      <c r="G3343" s="14">
        <v>3760.94</v>
      </c>
      <c r="H3343" s="13">
        <v>92</v>
      </c>
      <c r="I3343" t="s">
        <v>76</v>
      </c>
    </row>
    <row r="3344" spans="1:9" x14ac:dyDescent="0.3">
      <c r="A3344">
        <v>3841</v>
      </c>
      <c r="B3344" t="s">
        <v>2016</v>
      </c>
      <c r="C3344" t="s">
        <v>103</v>
      </c>
      <c r="D3344" t="s">
        <v>67</v>
      </c>
      <c r="E3344" t="s">
        <v>2013</v>
      </c>
      <c r="F3344" s="13">
        <v>5</v>
      </c>
      <c r="G3344" s="14">
        <v>13884.97</v>
      </c>
      <c r="H3344" s="13">
        <v>92</v>
      </c>
      <c r="I3344" t="s">
        <v>76</v>
      </c>
    </row>
    <row r="3345" spans="1:9" x14ac:dyDescent="0.3">
      <c r="A3345">
        <v>3970</v>
      </c>
      <c r="B3345" t="s">
        <v>423</v>
      </c>
      <c r="C3345" t="s">
        <v>92</v>
      </c>
      <c r="D3345" t="s">
        <v>64</v>
      </c>
      <c r="E3345" t="s">
        <v>2013</v>
      </c>
      <c r="F3345" s="13">
        <v>3</v>
      </c>
      <c r="G3345" s="14">
        <v>3113.05</v>
      </c>
      <c r="H3345" s="13">
        <v>92</v>
      </c>
      <c r="I3345" t="s">
        <v>76</v>
      </c>
    </row>
    <row r="3346" spans="1:9" x14ac:dyDescent="0.3">
      <c r="A3346">
        <v>4027</v>
      </c>
      <c r="B3346" t="s">
        <v>363</v>
      </c>
      <c r="C3346" t="s">
        <v>95</v>
      </c>
      <c r="D3346" t="s">
        <v>65</v>
      </c>
      <c r="E3346" t="s">
        <v>2013</v>
      </c>
      <c r="F3346" s="13">
        <v>2</v>
      </c>
      <c r="G3346" s="14">
        <v>3541.96</v>
      </c>
      <c r="H3346" s="13">
        <v>92</v>
      </c>
      <c r="I3346" t="s">
        <v>76</v>
      </c>
    </row>
    <row r="3347" spans="1:9" x14ac:dyDescent="0.3">
      <c r="A3347">
        <v>4541</v>
      </c>
      <c r="B3347" t="s">
        <v>396</v>
      </c>
      <c r="C3347" t="s">
        <v>156</v>
      </c>
      <c r="D3347" t="s">
        <v>68</v>
      </c>
      <c r="E3347" t="s">
        <v>2013</v>
      </c>
      <c r="F3347" s="13">
        <v>3</v>
      </c>
      <c r="G3347" s="14">
        <v>6493.86</v>
      </c>
      <c r="H3347" s="13">
        <v>92</v>
      </c>
      <c r="I3347" t="s">
        <v>76</v>
      </c>
    </row>
    <row r="3348" spans="1:9" x14ac:dyDescent="0.3">
      <c r="A3348">
        <v>4597</v>
      </c>
      <c r="B3348" t="s">
        <v>2017</v>
      </c>
      <c r="C3348" t="s">
        <v>95</v>
      </c>
      <c r="D3348" t="s">
        <v>65</v>
      </c>
      <c r="E3348" t="s">
        <v>2013</v>
      </c>
      <c r="F3348" s="13">
        <v>7</v>
      </c>
      <c r="G3348" s="14">
        <v>7267.97</v>
      </c>
      <c r="H3348" s="13">
        <v>92</v>
      </c>
      <c r="I3348" t="s">
        <v>76</v>
      </c>
    </row>
    <row r="3349" spans="1:9" x14ac:dyDescent="0.3">
      <c r="A3349">
        <v>4909</v>
      </c>
      <c r="B3349" t="s">
        <v>527</v>
      </c>
      <c r="C3349" t="s">
        <v>87</v>
      </c>
      <c r="D3349" t="s">
        <v>64</v>
      </c>
      <c r="E3349" t="s">
        <v>2013</v>
      </c>
      <c r="F3349" s="13">
        <v>2</v>
      </c>
      <c r="G3349" s="14">
        <v>5386.65</v>
      </c>
      <c r="H3349" s="13">
        <v>92</v>
      </c>
      <c r="I3349" t="s">
        <v>76</v>
      </c>
    </row>
    <row r="3350" spans="1:9" x14ac:dyDescent="0.3">
      <c r="A3350">
        <v>5149</v>
      </c>
      <c r="B3350" t="s">
        <v>532</v>
      </c>
      <c r="C3350" t="s">
        <v>133</v>
      </c>
      <c r="D3350" t="s">
        <v>64</v>
      </c>
      <c r="E3350" t="s">
        <v>2013</v>
      </c>
      <c r="F3350" s="13">
        <v>5</v>
      </c>
      <c r="G3350" s="14">
        <v>7764.03</v>
      </c>
      <c r="H3350" s="13">
        <v>92</v>
      </c>
      <c r="I3350" t="s">
        <v>76</v>
      </c>
    </row>
    <row r="3351" spans="1:9" x14ac:dyDescent="0.3">
      <c r="A3351">
        <v>5858</v>
      </c>
      <c r="B3351" t="s">
        <v>259</v>
      </c>
      <c r="C3351" t="s">
        <v>137</v>
      </c>
      <c r="D3351" t="s">
        <v>64</v>
      </c>
      <c r="E3351" t="s">
        <v>2013</v>
      </c>
      <c r="F3351" s="13">
        <v>1</v>
      </c>
      <c r="G3351" s="14">
        <v>637.80999999999995</v>
      </c>
      <c r="H3351" s="13">
        <v>92</v>
      </c>
      <c r="I3351" t="s">
        <v>76</v>
      </c>
    </row>
    <row r="3352" spans="1:9" x14ac:dyDescent="0.3">
      <c r="A3352">
        <v>6502</v>
      </c>
      <c r="B3352" t="s">
        <v>2018</v>
      </c>
      <c r="C3352" t="s">
        <v>92</v>
      </c>
      <c r="D3352" t="s">
        <v>64</v>
      </c>
      <c r="E3352" t="s">
        <v>2013</v>
      </c>
      <c r="F3352" s="13">
        <v>2</v>
      </c>
      <c r="G3352" s="14">
        <v>2766.18</v>
      </c>
      <c r="H3352" s="13">
        <v>92</v>
      </c>
      <c r="I3352" t="s">
        <v>76</v>
      </c>
    </row>
    <row r="3353" spans="1:9" x14ac:dyDescent="0.3">
      <c r="A3353">
        <v>6613</v>
      </c>
      <c r="B3353" t="s">
        <v>1210</v>
      </c>
      <c r="C3353" t="s">
        <v>92</v>
      </c>
      <c r="D3353" t="s">
        <v>64</v>
      </c>
      <c r="E3353" t="s">
        <v>2013</v>
      </c>
      <c r="F3353" s="13">
        <v>6</v>
      </c>
      <c r="G3353" s="14">
        <v>3510.27</v>
      </c>
      <c r="H3353" s="13">
        <v>92</v>
      </c>
      <c r="I3353" t="s">
        <v>76</v>
      </c>
    </row>
    <row r="3354" spans="1:9" x14ac:dyDescent="0.3">
      <c r="A3354">
        <v>7082</v>
      </c>
      <c r="B3354" t="s">
        <v>286</v>
      </c>
      <c r="C3354" t="s">
        <v>249</v>
      </c>
      <c r="D3354" t="s">
        <v>67</v>
      </c>
      <c r="E3354" t="s">
        <v>2013</v>
      </c>
      <c r="F3354" s="13">
        <v>3</v>
      </c>
      <c r="G3354" s="14">
        <v>5134.4399999999996</v>
      </c>
      <c r="H3354" s="13">
        <v>92</v>
      </c>
      <c r="I3354" t="s">
        <v>76</v>
      </c>
    </row>
    <row r="3355" spans="1:9" x14ac:dyDescent="0.3">
      <c r="A3355">
        <v>8869</v>
      </c>
      <c r="B3355" t="s">
        <v>167</v>
      </c>
      <c r="C3355" t="s">
        <v>137</v>
      </c>
      <c r="D3355" t="s">
        <v>64</v>
      </c>
      <c r="E3355" t="s">
        <v>2013</v>
      </c>
      <c r="F3355" s="13">
        <v>2</v>
      </c>
      <c r="G3355" s="14">
        <v>8362.06</v>
      </c>
      <c r="H3355" s="13">
        <v>92</v>
      </c>
      <c r="I3355" t="s">
        <v>76</v>
      </c>
    </row>
    <row r="3356" spans="1:9" x14ac:dyDescent="0.3">
      <c r="A3356">
        <v>23</v>
      </c>
      <c r="B3356" t="s">
        <v>2019</v>
      </c>
      <c r="C3356" t="s">
        <v>114</v>
      </c>
      <c r="D3356" t="s">
        <v>66</v>
      </c>
      <c r="E3356" t="s">
        <v>2020</v>
      </c>
      <c r="F3356" s="13">
        <v>3</v>
      </c>
      <c r="G3356" s="14">
        <v>7330.5</v>
      </c>
      <c r="H3356" s="13">
        <v>91</v>
      </c>
      <c r="I3356" t="s">
        <v>76</v>
      </c>
    </row>
    <row r="3357" spans="1:9" x14ac:dyDescent="0.3">
      <c r="A3357">
        <v>559</v>
      </c>
      <c r="B3357" t="s">
        <v>151</v>
      </c>
      <c r="C3357" t="s">
        <v>133</v>
      </c>
      <c r="D3357" t="s">
        <v>64</v>
      </c>
      <c r="E3357" t="s">
        <v>2020</v>
      </c>
      <c r="F3357" s="13">
        <v>11</v>
      </c>
      <c r="G3357" s="14">
        <v>14507.66</v>
      </c>
      <c r="H3357" s="13">
        <v>91</v>
      </c>
      <c r="I3357" t="s">
        <v>76</v>
      </c>
    </row>
    <row r="3358" spans="1:9" x14ac:dyDescent="0.3">
      <c r="A3358">
        <v>1038</v>
      </c>
      <c r="B3358" t="s">
        <v>2021</v>
      </c>
      <c r="C3358" t="s">
        <v>137</v>
      </c>
      <c r="D3358" t="s">
        <v>64</v>
      </c>
      <c r="E3358" t="s">
        <v>2020</v>
      </c>
      <c r="F3358" s="13">
        <v>2</v>
      </c>
      <c r="G3358" s="14">
        <v>360.46</v>
      </c>
      <c r="H3358" s="13">
        <v>91</v>
      </c>
      <c r="I3358" t="s">
        <v>76</v>
      </c>
    </row>
    <row r="3359" spans="1:9" x14ac:dyDescent="0.3">
      <c r="A3359">
        <v>1313</v>
      </c>
      <c r="B3359" t="s">
        <v>371</v>
      </c>
      <c r="C3359" t="s">
        <v>137</v>
      </c>
      <c r="D3359" t="s">
        <v>64</v>
      </c>
      <c r="E3359" t="s">
        <v>2020</v>
      </c>
      <c r="F3359" s="13">
        <v>3</v>
      </c>
      <c r="G3359" s="14">
        <v>2905.39</v>
      </c>
      <c r="H3359" s="13">
        <v>91</v>
      </c>
      <c r="I3359" t="s">
        <v>76</v>
      </c>
    </row>
    <row r="3360" spans="1:9" x14ac:dyDescent="0.3">
      <c r="A3360">
        <v>1461</v>
      </c>
      <c r="B3360" t="s">
        <v>1383</v>
      </c>
      <c r="C3360" t="s">
        <v>100</v>
      </c>
      <c r="D3360" t="s">
        <v>66</v>
      </c>
      <c r="E3360" t="s">
        <v>2020</v>
      </c>
      <c r="F3360" s="13">
        <v>1</v>
      </c>
      <c r="G3360" s="14">
        <v>3720.22</v>
      </c>
      <c r="H3360" s="13">
        <v>91</v>
      </c>
      <c r="I3360" t="s">
        <v>76</v>
      </c>
    </row>
    <row r="3361" spans="1:9" x14ac:dyDescent="0.3">
      <c r="A3361">
        <v>2574</v>
      </c>
      <c r="B3361" t="s">
        <v>1348</v>
      </c>
      <c r="C3361" t="s">
        <v>92</v>
      </c>
      <c r="D3361" t="s">
        <v>64</v>
      </c>
      <c r="E3361" t="s">
        <v>2020</v>
      </c>
      <c r="F3361" s="13">
        <v>2</v>
      </c>
      <c r="G3361" s="14">
        <v>3695.01</v>
      </c>
      <c r="H3361" s="13">
        <v>91</v>
      </c>
      <c r="I3361" t="s">
        <v>76</v>
      </c>
    </row>
    <row r="3362" spans="1:9" x14ac:dyDescent="0.3">
      <c r="A3362">
        <v>3375</v>
      </c>
      <c r="B3362" t="s">
        <v>2022</v>
      </c>
      <c r="C3362" t="s">
        <v>249</v>
      </c>
      <c r="D3362" t="s">
        <v>67</v>
      </c>
      <c r="E3362" t="s">
        <v>2020</v>
      </c>
      <c r="F3362" s="13">
        <v>2</v>
      </c>
      <c r="G3362" s="14">
        <v>1250.79</v>
      </c>
      <c r="H3362" s="13">
        <v>91</v>
      </c>
      <c r="I3362" t="s">
        <v>76</v>
      </c>
    </row>
    <row r="3363" spans="1:9" x14ac:dyDescent="0.3">
      <c r="A3363">
        <v>3399</v>
      </c>
      <c r="B3363" t="s">
        <v>89</v>
      </c>
      <c r="C3363" t="s">
        <v>473</v>
      </c>
      <c r="D3363" t="s">
        <v>68</v>
      </c>
      <c r="E3363" t="s">
        <v>2020</v>
      </c>
      <c r="F3363" s="13">
        <v>5</v>
      </c>
      <c r="G3363" s="14">
        <v>27605.53</v>
      </c>
      <c r="H3363" s="13">
        <v>91</v>
      </c>
      <c r="I3363" t="s">
        <v>76</v>
      </c>
    </row>
    <row r="3364" spans="1:9" x14ac:dyDescent="0.3">
      <c r="A3364">
        <v>3447</v>
      </c>
      <c r="B3364" t="s">
        <v>1025</v>
      </c>
      <c r="C3364" t="s">
        <v>156</v>
      </c>
      <c r="D3364" t="s">
        <v>68</v>
      </c>
      <c r="E3364" t="s">
        <v>2020</v>
      </c>
      <c r="F3364" s="13">
        <v>2</v>
      </c>
      <c r="G3364" s="14">
        <v>3126.02</v>
      </c>
      <c r="H3364" s="13">
        <v>91</v>
      </c>
      <c r="I3364" t="s">
        <v>76</v>
      </c>
    </row>
    <row r="3365" spans="1:9" x14ac:dyDescent="0.3">
      <c r="A3365">
        <v>3500</v>
      </c>
      <c r="B3365" t="s">
        <v>1896</v>
      </c>
      <c r="C3365" t="s">
        <v>114</v>
      </c>
      <c r="D3365" t="s">
        <v>66</v>
      </c>
      <c r="E3365" t="s">
        <v>2020</v>
      </c>
      <c r="F3365" s="13">
        <v>2</v>
      </c>
      <c r="G3365" s="14">
        <v>10270.64</v>
      </c>
      <c r="H3365" s="13">
        <v>91</v>
      </c>
      <c r="I3365" t="s">
        <v>76</v>
      </c>
    </row>
    <row r="3366" spans="1:9" x14ac:dyDescent="0.3">
      <c r="A3366">
        <v>3660</v>
      </c>
      <c r="B3366" t="s">
        <v>1531</v>
      </c>
      <c r="C3366" t="s">
        <v>95</v>
      </c>
      <c r="D3366" t="s">
        <v>65</v>
      </c>
      <c r="E3366" t="s">
        <v>2020</v>
      </c>
      <c r="F3366" s="13">
        <v>8</v>
      </c>
      <c r="G3366" s="14">
        <v>17008.73</v>
      </c>
      <c r="H3366" s="13">
        <v>91</v>
      </c>
      <c r="I3366" t="s">
        <v>76</v>
      </c>
    </row>
    <row r="3367" spans="1:9" x14ac:dyDescent="0.3">
      <c r="A3367">
        <v>4666</v>
      </c>
      <c r="B3367" t="s">
        <v>2023</v>
      </c>
      <c r="C3367" t="s">
        <v>137</v>
      </c>
      <c r="D3367" t="s">
        <v>64</v>
      </c>
      <c r="E3367" t="s">
        <v>2020</v>
      </c>
      <c r="F3367" s="13">
        <v>1</v>
      </c>
      <c r="G3367" s="14">
        <v>4758.8100000000004</v>
      </c>
      <c r="H3367" s="13">
        <v>91</v>
      </c>
      <c r="I3367" t="s">
        <v>76</v>
      </c>
    </row>
    <row r="3368" spans="1:9" x14ac:dyDescent="0.3">
      <c r="A3368">
        <v>4850</v>
      </c>
      <c r="B3368" t="s">
        <v>176</v>
      </c>
      <c r="C3368" t="s">
        <v>92</v>
      </c>
      <c r="D3368" t="s">
        <v>64</v>
      </c>
      <c r="E3368" t="s">
        <v>2020</v>
      </c>
      <c r="F3368" s="13">
        <v>2</v>
      </c>
      <c r="G3368" s="14">
        <v>724.13</v>
      </c>
      <c r="H3368" s="13">
        <v>91</v>
      </c>
      <c r="I3368" t="s">
        <v>76</v>
      </c>
    </row>
    <row r="3369" spans="1:9" x14ac:dyDescent="0.3">
      <c r="A3369">
        <v>5503</v>
      </c>
      <c r="B3369" t="s">
        <v>589</v>
      </c>
      <c r="C3369" t="s">
        <v>121</v>
      </c>
      <c r="D3369" t="s">
        <v>67</v>
      </c>
      <c r="E3369" t="s">
        <v>2020</v>
      </c>
      <c r="F3369" s="13">
        <v>1</v>
      </c>
      <c r="G3369" s="14">
        <v>2937.61</v>
      </c>
      <c r="H3369" s="13">
        <v>91</v>
      </c>
      <c r="I3369" t="s">
        <v>76</v>
      </c>
    </row>
    <row r="3370" spans="1:9" x14ac:dyDescent="0.3">
      <c r="A3370">
        <v>5755</v>
      </c>
      <c r="B3370" t="s">
        <v>1312</v>
      </c>
      <c r="C3370" t="s">
        <v>137</v>
      </c>
      <c r="D3370" t="s">
        <v>64</v>
      </c>
      <c r="E3370" t="s">
        <v>2020</v>
      </c>
      <c r="F3370" s="13">
        <v>2</v>
      </c>
      <c r="G3370" s="14">
        <v>749.61</v>
      </c>
      <c r="H3370" s="13">
        <v>91</v>
      </c>
      <c r="I3370" t="s">
        <v>76</v>
      </c>
    </row>
    <row r="3371" spans="1:9" x14ac:dyDescent="0.3">
      <c r="A3371">
        <v>6078</v>
      </c>
      <c r="B3371" t="s">
        <v>588</v>
      </c>
      <c r="C3371" t="s">
        <v>92</v>
      </c>
      <c r="D3371" t="s">
        <v>64</v>
      </c>
      <c r="E3371" t="s">
        <v>2020</v>
      </c>
      <c r="F3371" s="13">
        <v>2</v>
      </c>
      <c r="G3371" s="14">
        <v>6945.27</v>
      </c>
      <c r="H3371" s="13">
        <v>91</v>
      </c>
      <c r="I3371" t="s">
        <v>76</v>
      </c>
    </row>
    <row r="3372" spans="1:9" x14ac:dyDescent="0.3">
      <c r="A3372">
        <v>6228</v>
      </c>
      <c r="B3372" t="s">
        <v>2024</v>
      </c>
      <c r="C3372" t="s">
        <v>92</v>
      </c>
      <c r="D3372" t="s">
        <v>64</v>
      </c>
      <c r="E3372" t="s">
        <v>2020</v>
      </c>
      <c r="F3372" s="13">
        <v>1</v>
      </c>
      <c r="G3372" s="14">
        <v>518.04</v>
      </c>
      <c r="H3372" s="13">
        <v>91</v>
      </c>
      <c r="I3372" t="s">
        <v>76</v>
      </c>
    </row>
    <row r="3373" spans="1:9" x14ac:dyDescent="0.3">
      <c r="A3373">
        <v>6823</v>
      </c>
      <c r="B3373" t="s">
        <v>163</v>
      </c>
      <c r="C3373" t="s">
        <v>92</v>
      </c>
      <c r="D3373" t="s">
        <v>64</v>
      </c>
      <c r="E3373" t="s">
        <v>2020</v>
      </c>
      <c r="F3373" s="13">
        <v>1</v>
      </c>
      <c r="G3373" s="14">
        <v>1223.01</v>
      </c>
      <c r="H3373" s="13">
        <v>91</v>
      </c>
      <c r="I3373" t="s">
        <v>76</v>
      </c>
    </row>
    <row r="3374" spans="1:9" x14ac:dyDescent="0.3">
      <c r="A3374">
        <v>7109</v>
      </c>
      <c r="B3374" t="s">
        <v>2025</v>
      </c>
      <c r="C3374" t="s">
        <v>92</v>
      </c>
      <c r="D3374" t="s">
        <v>64</v>
      </c>
      <c r="E3374" t="s">
        <v>2020</v>
      </c>
      <c r="F3374" s="13">
        <v>7</v>
      </c>
      <c r="G3374" s="14">
        <v>26451.61</v>
      </c>
      <c r="H3374" s="13">
        <v>91</v>
      </c>
      <c r="I3374" t="s">
        <v>76</v>
      </c>
    </row>
    <row r="3375" spans="1:9" x14ac:dyDescent="0.3">
      <c r="A3375">
        <v>7273</v>
      </c>
      <c r="B3375" t="s">
        <v>2026</v>
      </c>
      <c r="C3375" t="s">
        <v>123</v>
      </c>
      <c r="D3375" t="s">
        <v>65</v>
      </c>
      <c r="E3375" t="s">
        <v>2020</v>
      </c>
      <c r="F3375" s="13">
        <v>2</v>
      </c>
      <c r="G3375" s="14">
        <v>1522.37</v>
      </c>
      <c r="H3375" s="13">
        <v>91</v>
      </c>
      <c r="I3375" t="s">
        <v>76</v>
      </c>
    </row>
    <row r="3376" spans="1:9" x14ac:dyDescent="0.3">
      <c r="A3376">
        <v>8181</v>
      </c>
      <c r="B3376" t="s">
        <v>668</v>
      </c>
      <c r="C3376" t="s">
        <v>121</v>
      </c>
      <c r="D3376" t="s">
        <v>67</v>
      </c>
      <c r="E3376" t="s">
        <v>2020</v>
      </c>
      <c r="F3376" s="13">
        <v>2</v>
      </c>
      <c r="G3376" s="14">
        <v>2008.33</v>
      </c>
      <c r="H3376" s="13">
        <v>91</v>
      </c>
      <c r="I3376" t="s">
        <v>76</v>
      </c>
    </row>
    <row r="3377" spans="1:9" x14ac:dyDescent="0.3">
      <c r="A3377">
        <v>8231</v>
      </c>
      <c r="B3377" t="s">
        <v>574</v>
      </c>
      <c r="C3377" t="s">
        <v>92</v>
      </c>
      <c r="D3377" t="s">
        <v>64</v>
      </c>
      <c r="E3377" t="s">
        <v>2020</v>
      </c>
      <c r="F3377" s="13">
        <v>6</v>
      </c>
      <c r="G3377" s="14">
        <v>6391.85</v>
      </c>
      <c r="H3377" s="13">
        <v>91</v>
      </c>
      <c r="I3377" t="s">
        <v>76</v>
      </c>
    </row>
    <row r="3378" spans="1:9" x14ac:dyDescent="0.3">
      <c r="A3378">
        <v>8655</v>
      </c>
      <c r="B3378" t="s">
        <v>169</v>
      </c>
      <c r="C3378" t="s">
        <v>95</v>
      </c>
      <c r="D3378" t="s">
        <v>65</v>
      </c>
      <c r="E3378" t="s">
        <v>2020</v>
      </c>
      <c r="F3378" s="13">
        <v>4</v>
      </c>
      <c r="G3378" s="14">
        <v>2230.56</v>
      </c>
      <c r="H3378" s="13">
        <v>91</v>
      </c>
      <c r="I3378" t="s">
        <v>76</v>
      </c>
    </row>
    <row r="3379" spans="1:9" x14ac:dyDescent="0.3">
      <c r="A3379">
        <v>8911</v>
      </c>
      <c r="B3379" t="s">
        <v>1383</v>
      </c>
      <c r="C3379" t="s">
        <v>100</v>
      </c>
      <c r="D3379" t="s">
        <v>66</v>
      </c>
      <c r="E3379" t="s">
        <v>2020</v>
      </c>
      <c r="F3379" s="13">
        <v>3</v>
      </c>
      <c r="G3379" s="14">
        <v>1599.52</v>
      </c>
      <c r="H3379" s="13">
        <v>91</v>
      </c>
      <c r="I3379" t="s">
        <v>76</v>
      </c>
    </row>
    <row r="3380" spans="1:9" x14ac:dyDescent="0.3">
      <c r="A3380">
        <v>8981</v>
      </c>
      <c r="B3380" t="s">
        <v>400</v>
      </c>
      <c r="C3380" t="s">
        <v>137</v>
      </c>
      <c r="D3380" t="s">
        <v>64</v>
      </c>
      <c r="E3380" t="s">
        <v>2020</v>
      </c>
      <c r="F3380" s="13">
        <v>1</v>
      </c>
      <c r="G3380" s="14">
        <v>277.64</v>
      </c>
      <c r="H3380" s="13">
        <v>91</v>
      </c>
      <c r="I3380" t="s">
        <v>76</v>
      </c>
    </row>
    <row r="3381" spans="1:9" x14ac:dyDescent="0.3">
      <c r="A3381">
        <v>246</v>
      </c>
      <c r="B3381" t="s">
        <v>686</v>
      </c>
      <c r="C3381" t="s">
        <v>90</v>
      </c>
      <c r="D3381" t="s">
        <v>66</v>
      </c>
      <c r="E3381" t="s">
        <v>2027</v>
      </c>
      <c r="F3381" s="13">
        <v>10</v>
      </c>
      <c r="G3381" s="14">
        <v>32628.57</v>
      </c>
      <c r="H3381" s="13">
        <v>90</v>
      </c>
      <c r="I3381" t="s">
        <v>76</v>
      </c>
    </row>
    <row r="3382" spans="1:9" x14ac:dyDescent="0.3">
      <c r="A3382">
        <v>303</v>
      </c>
      <c r="B3382" t="s">
        <v>191</v>
      </c>
      <c r="C3382" t="s">
        <v>133</v>
      </c>
      <c r="D3382" t="s">
        <v>64</v>
      </c>
      <c r="E3382" t="s">
        <v>2027</v>
      </c>
      <c r="F3382" s="13">
        <v>4</v>
      </c>
      <c r="G3382" s="14">
        <v>10128.91</v>
      </c>
      <c r="H3382" s="13">
        <v>90</v>
      </c>
      <c r="I3382" t="s">
        <v>76</v>
      </c>
    </row>
    <row r="3383" spans="1:9" x14ac:dyDescent="0.3">
      <c r="A3383">
        <v>367</v>
      </c>
      <c r="B3383" t="s">
        <v>2028</v>
      </c>
      <c r="C3383" t="s">
        <v>137</v>
      </c>
      <c r="D3383" t="s">
        <v>64</v>
      </c>
      <c r="E3383" t="s">
        <v>2027</v>
      </c>
      <c r="F3383" s="13">
        <v>3</v>
      </c>
      <c r="G3383" s="14">
        <v>3669.56</v>
      </c>
      <c r="H3383" s="13">
        <v>90</v>
      </c>
      <c r="I3383" t="s">
        <v>76</v>
      </c>
    </row>
    <row r="3384" spans="1:9" x14ac:dyDescent="0.3">
      <c r="A3384">
        <v>778</v>
      </c>
      <c r="B3384" t="s">
        <v>2029</v>
      </c>
      <c r="C3384" t="s">
        <v>137</v>
      </c>
      <c r="D3384" t="s">
        <v>64</v>
      </c>
      <c r="E3384" t="s">
        <v>2027</v>
      </c>
      <c r="F3384" s="13">
        <v>1</v>
      </c>
      <c r="G3384" s="14">
        <v>2362.8200000000002</v>
      </c>
      <c r="H3384" s="13">
        <v>90</v>
      </c>
      <c r="I3384" t="s">
        <v>76</v>
      </c>
    </row>
    <row r="3385" spans="1:9" x14ac:dyDescent="0.3">
      <c r="A3385">
        <v>1175</v>
      </c>
      <c r="B3385" t="s">
        <v>2030</v>
      </c>
      <c r="C3385" t="s">
        <v>123</v>
      </c>
      <c r="D3385" t="s">
        <v>65</v>
      </c>
      <c r="E3385" t="s">
        <v>2027</v>
      </c>
      <c r="F3385" s="13">
        <v>3</v>
      </c>
      <c r="G3385" s="14">
        <v>4618.8999999999996</v>
      </c>
      <c r="H3385" s="13">
        <v>90</v>
      </c>
      <c r="I3385" t="s">
        <v>76</v>
      </c>
    </row>
    <row r="3386" spans="1:9" x14ac:dyDescent="0.3">
      <c r="A3386">
        <v>1304</v>
      </c>
      <c r="B3386" t="s">
        <v>760</v>
      </c>
      <c r="C3386" t="s">
        <v>92</v>
      </c>
      <c r="D3386" t="s">
        <v>64</v>
      </c>
      <c r="E3386" t="s">
        <v>2027</v>
      </c>
      <c r="F3386" s="13">
        <v>12</v>
      </c>
      <c r="G3386" s="14">
        <v>29731.919999999998</v>
      </c>
      <c r="H3386" s="13">
        <v>90</v>
      </c>
      <c r="I3386" t="s">
        <v>76</v>
      </c>
    </row>
    <row r="3387" spans="1:9" x14ac:dyDescent="0.3">
      <c r="A3387">
        <v>1326</v>
      </c>
      <c r="B3387" t="s">
        <v>449</v>
      </c>
      <c r="C3387" t="s">
        <v>137</v>
      </c>
      <c r="D3387" t="s">
        <v>64</v>
      </c>
      <c r="E3387" t="s">
        <v>2027</v>
      </c>
      <c r="F3387" s="13">
        <v>1</v>
      </c>
      <c r="G3387" s="14">
        <v>115.68</v>
      </c>
      <c r="H3387" s="13">
        <v>90</v>
      </c>
      <c r="I3387" t="s">
        <v>76</v>
      </c>
    </row>
    <row r="3388" spans="1:9" x14ac:dyDescent="0.3">
      <c r="A3388">
        <v>1418</v>
      </c>
      <c r="B3388" t="s">
        <v>415</v>
      </c>
      <c r="C3388" t="s">
        <v>92</v>
      </c>
      <c r="D3388" t="s">
        <v>64</v>
      </c>
      <c r="E3388" t="s">
        <v>2027</v>
      </c>
      <c r="F3388" s="13">
        <v>2</v>
      </c>
      <c r="G3388" s="14">
        <v>11958.39</v>
      </c>
      <c r="H3388" s="13">
        <v>90</v>
      </c>
      <c r="I3388" t="s">
        <v>76</v>
      </c>
    </row>
    <row r="3389" spans="1:9" x14ac:dyDescent="0.3">
      <c r="A3389">
        <v>2719</v>
      </c>
      <c r="B3389" t="s">
        <v>259</v>
      </c>
      <c r="C3389" t="s">
        <v>92</v>
      </c>
      <c r="D3389" t="s">
        <v>64</v>
      </c>
      <c r="E3389" t="s">
        <v>2027</v>
      </c>
      <c r="F3389" s="13">
        <v>1</v>
      </c>
      <c r="G3389" s="14">
        <v>3844.64</v>
      </c>
      <c r="H3389" s="13">
        <v>90</v>
      </c>
      <c r="I3389" t="s">
        <v>76</v>
      </c>
    </row>
    <row r="3390" spans="1:9" x14ac:dyDescent="0.3">
      <c r="A3390">
        <v>3508</v>
      </c>
      <c r="B3390" t="s">
        <v>342</v>
      </c>
      <c r="C3390" t="s">
        <v>87</v>
      </c>
      <c r="D3390" t="s">
        <v>64</v>
      </c>
      <c r="E3390" t="s">
        <v>2027</v>
      </c>
      <c r="F3390" s="13">
        <v>4</v>
      </c>
      <c r="G3390" s="14">
        <v>6247.27</v>
      </c>
      <c r="H3390" s="13">
        <v>90</v>
      </c>
      <c r="I3390" t="s">
        <v>76</v>
      </c>
    </row>
    <row r="3391" spans="1:9" x14ac:dyDescent="0.3">
      <c r="A3391">
        <v>3622</v>
      </c>
      <c r="B3391" t="s">
        <v>364</v>
      </c>
      <c r="C3391" t="s">
        <v>95</v>
      </c>
      <c r="D3391" t="s">
        <v>65</v>
      </c>
      <c r="E3391" t="s">
        <v>2027</v>
      </c>
      <c r="F3391" s="13">
        <v>2</v>
      </c>
      <c r="G3391" s="14">
        <v>170.19</v>
      </c>
      <c r="H3391" s="13">
        <v>90</v>
      </c>
      <c r="I3391" t="s">
        <v>76</v>
      </c>
    </row>
    <row r="3392" spans="1:9" x14ac:dyDescent="0.3">
      <c r="A3392">
        <v>3787</v>
      </c>
      <c r="B3392" t="s">
        <v>636</v>
      </c>
      <c r="C3392" t="s">
        <v>97</v>
      </c>
      <c r="D3392" t="s">
        <v>65</v>
      </c>
      <c r="E3392" t="s">
        <v>2027</v>
      </c>
      <c r="F3392" s="13">
        <v>2</v>
      </c>
      <c r="G3392" s="14">
        <v>3262.78</v>
      </c>
      <c r="H3392" s="13">
        <v>90</v>
      </c>
      <c r="I3392" t="s">
        <v>76</v>
      </c>
    </row>
    <row r="3393" spans="1:9" x14ac:dyDescent="0.3">
      <c r="A3393">
        <v>5119</v>
      </c>
      <c r="B3393" t="s">
        <v>135</v>
      </c>
      <c r="C3393" t="s">
        <v>473</v>
      </c>
      <c r="D3393" t="s">
        <v>68</v>
      </c>
      <c r="E3393" t="s">
        <v>2027</v>
      </c>
      <c r="F3393" s="13">
        <v>1</v>
      </c>
      <c r="G3393" s="14">
        <v>1146.4100000000001</v>
      </c>
      <c r="H3393" s="13">
        <v>90</v>
      </c>
      <c r="I3393" t="s">
        <v>76</v>
      </c>
    </row>
    <row r="3394" spans="1:9" x14ac:dyDescent="0.3">
      <c r="A3394">
        <v>5193</v>
      </c>
      <c r="B3394" t="s">
        <v>2031</v>
      </c>
      <c r="C3394" t="s">
        <v>92</v>
      </c>
      <c r="D3394" t="s">
        <v>64</v>
      </c>
      <c r="E3394" t="s">
        <v>2027</v>
      </c>
      <c r="F3394" s="13">
        <v>2</v>
      </c>
      <c r="G3394" s="14">
        <v>2880.94</v>
      </c>
      <c r="H3394" s="13">
        <v>90</v>
      </c>
      <c r="I3394" t="s">
        <v>76</v>
      </c>
    </row>
    <row r="3395" spans="1:9" x14ac:dyDescent="0.3">
      <c r="A3395">
        <v>5234</v>
      </c>
      <c r="B3395" t="s">
        <v>534</v>
      </c>
      <c r="C3395" t="s">
        <v>249</v>
      </c>
      <c r="D3395" t="s">
        <v>67</v>
      </c>
      <c r="E3395" t="s">
        <v>2027</v>
      </c>
      <c r="F3395" s="13">
        <v>1</v>
      </c>
      <c r="G3395" s="14">
        <v>978.03</v>
      </c>
      <c r="H3395" s="13">
        <v>90</v>
      </c>
      <c r="I3395" t="s">
        <v>76</v>
      </c>
    </row>
    <row r="3396" spans="1:9" x14ac:dyDescent="0.3">
      <c r="A3396">
        <v>5374</v>
      </c>
      <c r="B3396" t="s">
        <v>327</v>
      </c>
      <c r="C3396" t="s">
        <v>92</v>
      </c>
      <c r="D3396" t="s">
        <v>64</v>
      </c>
      <c r="E3396" t="s">
        <v>2027</v>
      </c>
      <c r="F3396" s="13">
        <v>3</v>
      </c>
      <c r="G3396" s="14">
        <v>4276.49</v>
      </c>
      <c r="H3396" s="13">
        <v>90</v>
      </c>
      <c r="I3396" t="s">
        <v>76</v>
      </c>
    </row>
    <row r="3397" spans="1:9" x14ac:dyDescent="0.3">
      <c r="A3397">
        <v>5670</v>
      </c>
      <c r="B3397" t="s">
        <v>2032</v>
      </c>
      <c r="C3397" t="s">
        <v>114</v>
      </c>
      <c r="D3397" t="s">
        <v>66</v>
      </c>
      <c r="E3397" t="s">
        <v>2027</v>
      </c>
      <c r="F3397" s="13">
        <v>1</v>
      </c>
      <c r="G3397" s="14">
        <v>1094.45</v>
      </c>
      <c r="H3397" s="13">
        <v>90</v>
      </c>
      <c r="I3397" t="s">
        <v>76</v>
      </c>
    </row>
    <row r="3398" spans="1:9" x14ac:dyDescent="0.3">
      <c r="A3398">
        <v>6879</v>
      </c>
      <c r="B3398" t="s">
        <v>2033</v>
      </c>
      <c r="C3398" t="s">
        <v>133</v>
      </c>
      <c r="D3398" t="s">
        <v>64</v>
      </c>
      <c r="E3398" t="s">
        <v>2027</v>
      </c>
      <c r="F3398" s="13">
        <v>2</v>
      </c>
      <c r="G3398" s="14">
        <v>2641.8</v>
      </c>
      <c r="H3398" s="13">
        <v>90</v>
      </c>
      <c r="I3398" t="s">
        <v>76</v>
      </c>
    </row>
    <row r="3399" spans="1:9" x14ac:dyDescent="0.3">
      <c r="A3399">
        <v>7160</v>
      </c>
      <c r="B3399" t="s">
        <v>2034</v>
      </c>
      <c r="C3399" t="s">
        <v>249</v>
      </c>
      <c r="D3399" t="s">
        <v>67</v>
      </c>
      <c r="E3399" t="s">
        <v>2027</v>
      </c>
      <c r="F3399" s="13">
        <v>6</v>
      </c>
      <c r="G3399" s="14">
        <v>10433.459999999999</v>
      </c>
      <c r="H3399" s="13">
        <v>90</v>
      </c>
      <c r="I3399" t="s">
        <v>76</v>
      </c>
    </row>
    <row r="3400" spans="1:9" x14ac:dyDescent="0.3">
      <c r="A3400">
        <v>7332</v>
      </c>
      <c r="B3400" t="s">
        <v>1733</v>
      </c>
      <c r="C3400" t="s">
        <v>123</v>
      </c>
      <c r="D3400" t="s">
        <v>65</v>
      </c>
      <c r="E3400" t="s">
        <v>2027</v>
      </c>
      <c r="F3400" s="13">
        <v>4</v>
      </c>
      <c r="G3400" s="14">
        <v>3816.5</v>
      </c>
      <c r="H3400" s="13">
        <v>90</v>
      </c>
      <c r="I3400" t="s">
        <v>76</v>
      </c>
    </row>
    <row r="3401" spans="1:9" x14ac:dyDescent="0.3">
      <c r="A3401">
        <v>7443</v>
      </c>
      <c r="B3401" t="s">
        <v>371</v>
      </c>
      <c r="C3401" t="s">
        <v>133</v>
      </c>
      <c r="D3401" t="s">
        <v>64</v>
      </c>
      <c r="E3401" t="s">
        <v>2027</v>
      </c>
      <c r="F3401" s="13">
        <v>4</v>
      </c>
      <c r="G3401" s="14">
        <v>4872.53</v>
      </c>
      <c r="H3401" s="13">
        <v>90</v>
      </c>
      <c r="I3401" t="s">
        <v>76</v>
      </c>
    </row>
    <row r="3402" spans="1:9" x14ac:dyDescent="0.3">
      <c r="A3402">
        <v>8261</v>
      </c>
      <c r="B3402" t="s">
        <v>283</v>
      </c>
      <c r="C3402" t="s">
        <v>133</v>
      </c>
      <c r="D3402" t="s">
        <v>64</v>
      </c>
      <c r="E3402" t="s">
        <v>2027</v>
      </c>
      <c r="F3402" s="13">
        <v>1</v>
      </c>
      <c r="G3402" s="14">
        <v>847.76</v>
      </c>
      <c r="H3402" s="13">
        <v>90</v>
      </c>
      <c r="I3402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22" customWidth="1"/>
    <col min="2" max="2" width="12" customWidth="1"/>
    <col min="3" max="3" width="15" customWidth="1"/>
    <col min="4" max="4" width="16" customWidth="1"/>
  </cols>
  <sheetData>
    <row r="1" spans="1:4" ht="15.6" x14ac:dyDescent="0.3">
      <c r="A1" s="2" t="s">
        <v>2035</v>
      </c>
    </row>
    <row r="2" spans="1:4" x14ac:dyDescent="0.3">
      <c r="A2" s="1" t="s">
        <v>2036</v>
      </c>
    </row>
    <row r="4" spans="1:4" x14ac:dyDescent="0.3">
      <c r="A4" s="3" t="s">
        <v>2037</v>
      </c>
      <c r="B4" s="3" t="s">
        <v>4</v>
      </c>
      <c r="C4" s="3" t="s">
        <v>12</v>
      </c>
      <c r="D4" s="3" t="s">
        <v>49</v>
      </c>
    </row>
    <row r="5" spans="1:4" x14ac:dyDescent="0.3">
      <c r="A5" s="4" t="s">
        <v>2038</v>
      </c>
      <c r="B5" s="5">
        <v>2118</v>
      </c>
      <c r="C5" s="6">
        <v>29120126.27</v>
      </c>
      <c r="D5" s="8">
        <f t="shared" ref="D5:D10" si="0">C5/SUM($C$5:$C$10)</f>
        <v>0.60529448964747601</v>
      </c>
    </row>
    <row r="6" spans="1:4" x14ac:dyDescent="0.3">
      <c r="A6" s="4" t="s">
        <v>2039</v>
      </c>
      <c r="B6" s="5">
        <v>832</v>
      </c>
      <c r="C6" s="6">
        <v>7544334.7999999998</v>
      </c>
      <c r="D6" s="8">
        <f t="shared" si="0"/>
        <v>0.15681746157811879</v>
      </c>
    </row>
    <row r="7" spans="1:4" x14ac:dyDescent="0.3">
      <c r="A7" s="4" t="s">
        <v>2040</v>
      </c>
      <c r="B7" s="5">
        <v>791</v>
      </c>
      <c r="C7" s="6">
        <v>4649643.1100000003</v>
      </c>
      <c r="D7" s="8">
        <f t="shared" si="0"/>
        <v>9.6648047718453575E-2</v>
      </c>
    </row>
    <row r="8" spans="1:4" x14ac:dyDescent="0.3">
      <c r="A8" s="4" t="s">
        <v>2041</v>
      </c>
      <c r="B8" s="5">
        <v>2079</v>
      </c>
      <c r="C8" s="6">
        <v>3121412.69</v>
      </c>
      <c r="D8" s="8">
        <f t="shared" si="0"/>
        <v>6.4882064166018646E-2</v>
      </c>
    </row>
    <row r="9" spans="1:4" x14ac:dyDescent="0.3">
      <c r="A9" s="4" t="s">
        <v>2042</v>
      </c>
      <c r="B9" s="5">
        <v>1080</v>
      </c>
      <c r="C9" s="6">
        <v>3119037.9</v>
      </c>
      <c r="D9" s="8">
        <f t="shared" si="0"/>
        <v>6.4832701491978645E-2</v>
      </c>
    </row>
    <row r="10" spans="1:4" x14ac:dyDescent="0.3">
      <c r="A10" s="4" t="s">
        <v>2043</v>
      </c>
      <c r="B10" s="5">
        <v>505</v>
      </c>
      <c r="C10" s="6">
        <v>554467.81000000006</v>
      </c>
      <c r="D10" s="8">
        <f t="shared" si="0"/>
        <v>1.1525235397954329E-2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zoomScaleNormal="100" workbookViewId="0"/>
  </sheetViews>
  <sheetFormatPr defaultColWidth="8.6640625" defaultRowHeight="14.4" x14ac:dyDescent="0.3"/>
  <cols>
    <col min="1" max="1" width="7" customWidth="1"/>
    <col min="2" max="2" width="12" customWidth="1"/>
    <col min="3" max="3" width="20" customWidth="1"/>
    <col min="4" max="4" width="8" customWidth="1"/>
    <col min="5" max="5" width="14" customWidth="1"/>
    <col min="6" max="6" width="12" customWidth="1"/>
    <col min="7" max="8" width="15" customWidth="1"/>
    <col min="9" max="10" width="12" customWidth="1"/>
  </cols>
  <sheetData>
    <row r="1" spans="1:10" ht="15.6" x14ac:dyDescent="0.3">
      <c r="A1" s="2" t="s">
        <v>2044</v>
      </c>
    </row>
    <row r="2" spans="1:10" x14ac:dyDescent="0.3">
      <c r="A2" s="1" t="s">
        <v>2045</v>
      </c>
    </row>
    <row r="4" spans="1:10" x14ac:dyDescent="0.3">
      <c r="A4" s="3" t="s">
        <v>2046</v>
      </c>
      <c r="B4" s="3" t="s">
        <v>79</v>
      </c>
      <c r="C4" s="3" t="s">
        <v>80</v>
      </c>
      <c r="D4" s="3" t="s">
        <v>81</v>
      </c>
      <c r="E4" s="3" t="s">
        <v>62</v>
      </c>
      <c r="F4" s="3" t="s">
        <v>83</v>
      </c>
      <c r="G4" s="3" t="s">
        <v>84</v>
      </c>
      <c r="H4" s="3" t="s">
        <v>14</v>
      </c>
      <c r="I4" s="3" t="s">
        <v>2047</v>
      </c>
      <c r="J4" s="3" t="s">
        <v>2048</v>
      </c>
    </row>
    <row r="5" spans="1:10" x14ac:dyDescent="0.3">
      <c r="A5" s="7">
        <v>1</v>
      </c>
      <c r="B5" s="7">
        <v>2696</v>
      </c>
      <c r="C5" s="7" t="s">
        <v>327</v>
      </c>
      <c r="D5" s="7" t="s">
        <v>123</v>
      </c>
      <c r="E5" s="7" t="s">
        <v>65</v>
      </c>
      <c r="F5" s="5">
        <v>19</v>
      </c>
      <c r="G5" s="6">
        <v>73075.399999999994</v>
      </c>
      <c r="H5" s="6">
        <f t="shared" ref="H5:H14" si="0">G5/F5</f>
        <v>3846.0736842105262</v>
      </c>
      <c r="I5" s="7" t="s">
        <v>359</v>
      </c>
      <c r="J5" s="7" t="s">
        <v>2049</v>
      </c>
    </row>
    <row r="6" spans="1:10" x14ac:dyDescent="0.3">
      <c r="A6" s="7">
        <v>2</v>
      </c>
      <c r="B6" s="7">
        <v>7825</v>
      </c>
      <c r="C6" s="7" t="s">
        <v>257</v>
      </c>
      <c r="D6" s="7" t="s">
        <v>114</v>
      </c>
      <c r="E6" s="7" t="s">
        <v>66</v>
      </c>
      <c r="F6" s="5">
        <v>27</v>
      </c>
      <c r="G6" s="6">
        <v>70175.820000000007</v>
      </c>
      <c r="H6" s="6">
        <f t="shared" si="0"/>
        <v>2599.1044444444447</v>
      </c>
      <c r="I6" s="7" t="s">
        <v>2050</v>
      </c>
      <c r="J6" s="7" t="s">
        <v>2051</v>
      </c>
    </row>
    <row r="7" spans="1:10" x14ac:dyDescent="0.3">
      <c r="A7" s="7">
        <v>3</v>
      </c>
      <c r="B7" s="7">
        <v>7644</v>
      </c>
      <c r="C7" s="7" t="s">
        <v>2052</v>
      </c>
      <c r="D7" s="7" t="s">
        <v>97</v>
      </c>
      <c r="E7" s="7" t="s">
        <v>65</v>
      </c>
      <c r="F7" s="5">
        <v>17</v>
      </c>
      <c r="G7" s="6">
        <v>63060.41</v>
      </c>
      <c r="H7" s="6">
        <f t="shared" si="0"/>
        <v>3709.4358823529415</v>
      </c>
      <c r="I7" s="7" t="s">
        <v>467</v>
      </c>
      <c r="J7" s="7" t="s">
        <v>2053</v>
      </c>
    </row>
    <row r="8" spans="1:10" x14ac:dyDescent="0.3">
      <c r="A8" s="7">
        <v>4</v>
      </c>
      <c r="B8" s="7">
        <v>7648</v>
      </c>
      <c r="C8" s="7" t="s">
        <v>327</v>
      </c>
      <c r="D8" s="7" t="s">
        <v>95</v>
      </c>
      <c r="E8" s="7" t="s">
        <v>65</v>
      </c>
      <c r="F8" s="5">
        <v>20</v>
      </c>
      <c r="G8" s="6">
        <v>60458.58</v>
      </c>
      <c r="H8" s="6">
        <f t="shared" si="0"/>
        <v>3022.9290000000001</v>
      </c>
      <c r="I8" s="7" t="s">
        <v>1781</v>
      </c>
      <c r="J8" s="7" t="s">
        <v>2054</v>
      </c>
    </row>
    <row r="9" spans="1:10" x14ac:dyDescent="0.3">
      <c r="A9" s="7">
        <v>5</v>
      </c>
      <c r="B9" s="7">
        <v>1693</v>
      </c>
      <c r="C9" s="7" t="s">
        <v>606</v>
      </c>
      <c r="D9" s="7" t="s">
        <v>103</v>
      </c>
      <c r="E9" s="7" t="s">
        <v>67</v>
      </c>
      <c r="F9" s="5">
        <v>15</v>
      </c>
      <c r="G9" s="6">
        <v>60301.56</v>
      </c>
      <c r="H9" s="6">
        <f t="shared" si="0"/>
        <v>4020.1039999999998</v>
      </c>
      <c r="I9" s="7" t="s">
        <v>2055</v>
      </c>
      <c r="J9" s="7" t="s">
        <v>2056</v>
      </c>
    </row>
    <row r="10" spans="1:10" x14ac:dyDescent="0.3">
      <c r="A10" s="7">
        <v>6</v>
      </c>
      <c r="B10" s="7">
        <v>24</v>
      </c>
      <c r="C10" s="7" t="s">
        <v>169</v>
      </c>
      <c r="D10" s="7" t="s">
        <v>100</v>
      </c>
      <c r="E10" s="7" t="s">
        <v>66</v>
      </c>
      <c r="F10" s="5">
        <v>27</v>
      </c>
      <c r="G10" s="6">
        <v>60129.89</v>
      </c>
      <c r="H10" s="6">
        <f t="shared" si="0"/>
        <v>2227.0329629629628</v>
      </c>
      <c r="I10" s="7" t="s">
        <v>700</v>
      </c>
      <c r="J10" s="7" t="s">
        <v>2057</v>
      </c>
    </row>
    <row r="11" spans="1:10" x14ac:dyDescent="0.3">
      <c r="A11" s="7">
        <v>7</v>
      </c>
      <c r="B11" s="7">
        <v>4824</v>
      </c>
      <c r="C11" s="7" t="s">
        <v>264</v>
      </c>
      <c r="D11" s="7" t="s">
        <v>97</v>
      </c>
      <c r="E11" s="7" t="s">
        <v>65</v>
      </c>
      <c r="F11" s="5">
        <v>28</v>
      </c>
      <c r="G11" s="6">
        <v>59154.25</v>
      </c>
      <c r="H11" s="6">
        <f t="shared" si="0"/>
        <v>2112.6517857142858</v>
      </c>
      <c r="I11" s="7" t="s">
        <v>900</v>
      </c>
      <c r="J11" s="7" t="s">
        <v>2058</v>
      </c>
    </row>
    <row r="12" spans="1:10" x14ac:dyDescent="0.3">
      <c r="A12" s="7">
        <v>8</v>
      </c>
      <c r="B12" s="7">
        <v>5602</v>
      </c>
      <c r="C12" s="7" t="s">
        <v>138</v>
      </c>
      <c r="D12" s="7" t="s">
        <v>123</v>
      </c>
      <c r="E12" s="7" t="s">
        <v>65</v>
      </c>
      <c r="F12" s="5">
        <v>13</v>
      </c>
      <c r="G12" s="6">
        <v>58493.32</v>
      </c>
      <c r="H12" s="6">
        <f t="shared" si="0"/>
        <v>4499.4861538461537</v>
      </c>
      <c r="I12" s="7" t="s">
        <v>650</v>
      </c>
      <c r="J12" s="7" t="s">
        <v>2059</v>
      </c>
    </row>
    <row r="13" spans="1:10" x14ac:dyDescent="0.3">
      <c r="A13" s="7">
        <v>9</v>
      </c>
      <c r="B13" s="7">
        <v>4565</v>
      </c>
      <c r="C13" s="7" t="s">
        <v>2060</v>
      </c>
      <c r="D13" s="7" t="s">
        <v>95</v>
      </c>
      <c r="E13" s="7" t="s">
        <v>65</v>
      </c>
      <c r="F13" s="5">
        <v>24</v>
      </c>
      <c r="G13" s="6">
        <v>56168.87</v>
      </c>
      <c r="H13" s="6">
        <f t="shared" si="0"/>
        <v>2340.3695833333336</v>
      </c>
      <c r="I13" s="7" t="s">
        <v>476</v>
      </c>
      <c r="J13" s="7" t="s">
        <v>2059</v>
      </c>
    </row>
    <row r="14" spans="1:10" x14ac:dyDescent="0.3">
      <c r="A14" s="7">
        <v>10</v>
      </c>
      <c r="B14" s="7">
        <v>2224</v>
      </c>
      <c r="C14" s="7" t="s">
        <v>697</v>
      </c>
      <c r="D14" s="7" t="s">
        <v>92</v>
      </c>
      <c r="E14" s="7" t="s">
        <v>64</v>
      </c>
      <c r="F14" s="5">
        <v>17</v>
      </c>
      <c r="G14" s="6">
        <v>55211.23</v>
      </c>
      <c r="H14" s="6">
        <f t="shared" si="0"/>
        <v>3247.7194117647059</v>
      </c>
      <c r="I14" s="7" t="s">
        <v>1878</v>
      </c>
      <c r="J14" s="7" t="s">
        <v>2061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Monthly Revenue</vt:lpstr>
      <vt:lpstr>Category Revenue</vt:lpstr>
      <vt:lpstr>Region AOV</vt:lpstr>
      <vt:lpstr>Churn Risk</vt:lpstr>
      <vt:lpstr>RFM Segments</vt:lpstr>
      <vt:lpstr>Top 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Adithyan Ck</cp:lastModifiedBy>
  <cp:revision>1</cp:revision>
  <dcterms:created xsi:type="dcterms:W3CDTF">2026-09-02T03:07:37Z</dcterms:created>
  <dcterms:modified xsi:type="dcterms:W3CDTF">2026-09-02T18:03:03Z</dcterms:modified>
  <dc:language>en-US</dc:language>
</cp:coreProperties>
</file>